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on-043\Downloads\"/>
    </mc:Choice>
  </mc:AlternateContent>
  <xr:revisionPtr revIDLastSave="0" documentId="13_ncr:1_{D17FC4B3-15CE-4907-8879-64A5A037C2C9}" xr6:coauthVersionLast="47" xr6:coauthVersionMax="47" xr10:uidLastSave="{00000000-0000-0000-0000-000000000000}"/>
  <bookViews>
    <workbookView xWindow="-108" yWindow="-108" windowWidth="23256" windowHeight="12456" xr2:uid="{31727618-0AA7-46EA-8B14-F44ACDCF36DE}"/>
  </bookViews>
  <sheets>
    <sheet name="Solar BOM" sheetId="1" r:id="rId1"/>
    <sheet name="Electrical BOM" sheetId="2" r:id="rId2"/>
    <sheet name="Future Use" sheetId="3" r:id="rId3"/>
  </sheets>
  <definedNames>
    <definedName name="_xlnm._FilterDatabase" localSheetId="1" hidden="1">'Electrical BOM'!$A$4:$A$161</definedName>
    <definedName name="_xlnm._FilterDatabase" localSheetId="0" hidden="1">'Solar BOM'!$A$4:$A$93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1" l="1"/>
  <c r="B3" i="2" l="1"/>
  <c r="B2" i="2"/>
  <c r="B1" i="2"/>
</calcChain>
</file>

<file path=xl/sharedStrings.xml><?xml version="1.0" encoding="utf-8"?>
<sst xmlns="http://schemas.openxmlformats.org/spreadsheetml/2006/main" count="744" uniqueCount="465">
  <si>
    <t>Customer Name:</t>
  </si>
  <si>
    <t>Warehouse Zone:</t>
  </si>
  <si>
    <t>Customer Address:</t>
  </si>
  <si>
    <t>QTY</t>
  </si>
  <si>
    <t>SKU</t>
  </si>
  <si>
    <t>ITEM DESCRIPTION</t>
  </si>
  <si>
    <t>BOM</t>
  </si>
  <si>
    <t>ELNSM54M-HC-N-450</t>
  </si>
  <si>
    <t>450W SIRIUS MODULES</t>
  </si>
  <si>
    <t>Solar BOM</t>
  </si>
  <si>
    <t>HiS-T440NF(BK)</t>
  </si>
  <si>
    <t>440W HYUNDAI MODULES</t>
  </si>
  <si>
    <t>DNA-120-BF10-460W</t>
  </si>
  <si>
    <t>460W APTOS MODULES</t>
  </si>
  <si>
    <t xml:space="preserve"> </t>
  </si>
  <si>
    <t>IQ8HC-72-M-DOM-US</t>
  </si>
  <si>
    <t>Enphase 380W Microinverter DOMESTIC</t>
  </si>
  <si>
    <t>IQ8PLUS-72-M-US</t>
  </si>
  <si>
    <t>Enphase 290W MICROINVERTER</t>
  </si>
  <si>
    <t>IQ8HC-72-M-US</t>
  </si>
  <si>
    <t>Enphase 380W Microinverter</t>
  </si>
  <si>
    <t>Enphase LANDSCAPE TRUNK</t>
  </si>
  <si>
    <t>Q-TERM-10</t>
  </si>
  <si>
    <t>Enphase TERMINATOR CAP</t>
  </si>
  <si>
    <t>Q-SEAL-10</t>
  </si>
  <si>
    <t>Enphase SEALING CAP</t>
  </si>
  <si>
    <t>Q-CONN-10F</t>
  </si>
  <si>
    <t>Enphase FEMALE CONNECTOR</t>
  </si>
  <si>
    <t>Q-CONN-10M</t>
  </si>
  <si>
    <t>Enphase MALE CONNECTOR</t>
  </si>
  <si>
    <t>TSL-MCI-GEN2 (1879359)</t>
  </si>
  <si>
    <t>Tesla MCI-2 </t>
  </si>
  <si>
    <t>STB-SE1FCONN MC4 Female</t>
  </si>
  <si>
    <t>MC4 Female Head and Pin</t>
  </si>
  <si>
    <t>STB-SE1MCONN MC Male</t>
  </si>
  <si>
    <t>MC4 Male Head and Pin</t>
  </si>
  <si>
    <t>EZSOLAR JB-1.2</t>
  </si>
  <si>
    <t>ROOF J BOX (SHINGLE MOUNT)</t>
  </si>
  <si>
    <t>EZSOLAR JB-3</t>
  </si>
  <si>
    <t>ROOF J BOXES (RAIL MOUNT)</t>
  </si>
  <si>
    <t>EZSOLAR TOMBSTONE</t>
  </si>
  <si>
    <t>ROOF J BOXES (METAL ROOF)</t>
  </si>
  <si>
    <t>242-10059 Conduit Mounts</t>
  </si>
  <si>
    <t>SnapNRack Universal Conduit Mount</t>
  </si>
  <si>
    <t>232-01173 S CLIPS</t>
  </si>
  <si>
    <t>SnapNRack S Clips (Smart Clip II)</t>
  </si>
  <si>
    <t>ROOF MOUNT</t>
  </si>
  <si>
    <t>Roof Type</t>
  </si>
  <si>
    <t xml:space="preserve">4000282 K2 Shingle Roof Attachment </t>
  </si>
  <si>
    <t>K2 Multi Mount Kit, Mill Shingle Roof Attachment</t>
  </si>
  <si>
    <t>Standard Roof Attachment</t>
  </si>
  <si>
    <t>4000170 K2 Lag Screw (1 Per Attachment)</t>
  </si>
  <si>
    <t>K2 Lag Screw 5/16 x 3" SS, W/ EPDM Washer</t>
  </si>
  <si>
    <t>4000310 K2 Decking Screw (4 per Attachment)</t>
  </si>
  <si>
    <t>K2 DR #14 x 3" x 5/16 Hex Head Screw W/ EPDM Washer</t>
  </si>
  <si>
    <t>S5-PROTEABRACKET-AL</t>
  </si>
  <si>
    <t>S-5! ProteaBracket (comes with L Foot)</t>
  </si>
  <si>
    <t>Metal Roof Attachment</t>
  </si>
  <si>
    <t>S5-SOLARFOOT</t>
  </si>
  <si>
    <t>S-5! SOLARFOOT (add L Foot)</t>
  </si>
  <si>
    <t>IR-LFT-03-M1</t>
  </si>
  <si>
    <t>OPEN TOP L FOOT MILL IronRidge</t>
  </si>
  <si>
    <t>FLASHLOC RM KIT</t>
  </si>
  <si>
    <t>Flat Roof Attachment</t>
  </si>
  <si>
    <t>NUTILTLEG12-US</t>
  </si>
  <si>
    <t>UNIRAC TILT LEG KIT 12" Domestic</t>
  </si>
  <si>
    <t>NUTILTLEG30</t>
  </si>
  <si>
    <t>UNIRAC TILT LEG KIT 30"</t>
  </si>
  <si>
    <t>4000819-US K2 Rail DC 172</t>
  </si>
  <si>
    <t>K2 CrossRail 44-X Max 172", Mill, DC (Roof)</t>
  </si>
  <si>
    <t>K2 Rail and Hardware</t>
  </si>
  <si>
    <t>4000770 K2 Rail Clamp (One Per Attachment)</t>
  </si>
  <si>
    <t>K2 Rail Runner Kit, Mill (rail clamp) (Roof)</t>
  </si>
  <si>
    <t>4000051-T-US K2 Splice DC</t>
  </si>
  <si>
    <t>K2 Tool-less Rail Connector 44-X, Set (Roof)</t>
  </si>
  <si>
    <t>4000145-US K2 Cross (Combo) Clamp DC</t>
  </si>
  <si>
    <t>K2 Cross Clamp Set, Dark, DC (Roof and Groundmnt)</t>
  </si>
  <si>
    <t>K2 CR Micro inverter &amp; OPT, 13mm Hex, DC (Roof and Groundmnt)</t>
  </si>
  <si>
    <t>4000006-H K2 Ground Lug</t>
  </si>
  <si>
    <t>K2 Ground Lug (Roof and Groundmnt)</t>
  </si>
  <si>
    <t>4000176 K2 End Cap 44-X (Roof)</t>
  </si>
  <si>
    <t>K2 EndCap 44-X (Roof)</t>
  </si>
  <si>
    <t xml:space="preserve">4000069 K2 Wire Mngmnt Clip Standard </t>
  </si>
  <si>
    <t>K2 Wire Management Clip, TC, (Roof and Groundmnt)</t>
  </si>
  <si>
    <t>SnapNRack GROUND MOUNT:</t>
  </si>
  <si>
    <t>232-02542-USA Ground Rail, 172", Mill (USA)</t>
  </si>
  <si>
    <t>SnapNRack Ground Mount Rail, 172", Mill (USA)</t>
  </si>
  <si>
    <t>242-02071-USA GM Mid Clamp</t>
  </si>
  <si>
    <t>SnapNRack Ultra Rail Mid Clamp, Black (USA)</t>
  </si>
  <si>
    <t>242-02073-USA GM END Clamp</t>
  </si>
  <si>
    <t>SnapNRack Ultra Rail END Clamp, Black (USA)</t>
  </si>
  <si>
    <t>242-09004 Bonding Pipe Clamp for 1 ½” (U Clamp)</t>
  </si>
  <si>
    <t>SnapNRack Bonding Pipe Clamp for 1 ½” (U Clamp)</t>
  </si>
  <si>
    <t xml:space="preserve">232-01043 Ground Rail End Cap </t>
  </si>
  <si>
    <t xml:space="preserve">SnapNRack Ground Rail End Cap </t>
  </si>
  <si>
    <t xml:space="preserve">242-10034 OmniLug </t>
  </si>
  <si>
    <t>SnapNRack OmniLug (Ground Lug)</t>
  </si>
  <si>
    <t>172-05821 Reducing Tee, Pipe Cap 1 ½” x 2"</t>
  </si>
  <si>
    <t>SnapNRack  1 ½” x 2" Tee / Pipe Cap</t>
  </si>
  <si>
    <t>172-05808 Plug End, 1 ½” Sch 40</t>
  </si>
  <si>
    <t>SnapNRack Plug End, Hollaender (62-8), 1 ½” Sch 40</t>
  </si>
  <si>
    <t>172-05819 Adj Reducing Tee - 2"x1-1/2" - for Brace Pipe</t>
  </si>
  <si>
    <t>SnapNRack Adjustable Reducing Elbow/Tee, Hollaender (17-98) 2” x 1 ½"</t>
  </si>
  <si>
    <t>242-04009 Ground Rail Splice</t>
  </si>
  <si>
    <t>SnapNRack Ground Rail Splice</t>
  </si>
  <si>
    <t xml:space="preserve">American Ground Screw 63" </t>
  </si>
  <si>
    <t>Accepts 2" N/S Pipe</t>
  </si>
  <si>
    <t>2" Sch 40 Galvanized Pipe - North/South 60"</t>
  </si>
  <si>
    <t>60" N/S Ground Mount Galv Sch 40</t>
  </si>
  <si>
    <t>2" Sch 40 Galvanized Pipe - North/South 120"</t>
  </si>
  <si>
    <t>120" N/S Ground Mount Galv Sch 40</t>
  </si>
  <si>
    <t>1-1/2 Sch 40 Galvanized Pipe 10Ft</t>
  </si>
  <si>
    <t>10ft E/W Ground Mount Galv Sch 40</t>
  </si>
  <si>
    <t>1-1/2 Sch 40 Galvanized Coupling</t>
  </si>
  <si>
    <t>K2 GROUND MOUNT:</t>
  </si>
  <si>
    <t>GROUND MOUNT:</t>
  </si>
  <si>
    <t>4001370 K2 Ground Mount Rail, CR80 Mill 212</t>
  </si>
  <si>
    <t>K2 Ground Mount CrossRail 80, Ground Mount Mill, 212</t>
  </si>
  <si>
    <t>4000708 K2 Ground Mount Rail, CR80 Mill 172</t>
  </si>
  <si>
    <t>K2 Ground Mount CrossRail 80, Ground Mount Mill, 172</t>
  </si>
  <si>
    <t>4001196 K2 Ground Mount Rail Splice, CR80, Mill</t>
  </si>
  <si>
    <t>K2 Ground Mount Rail Connector (Splice), CR80, Mill</t>
  </si>
  <si>
    <t xml:space="preserve">4000198 K2 Ground Mount Top Cap </t>
  </si>
  <si>
    <t>K2 Ground Mount Top Cap 3, Kit</t>
  </si>
  <si>
    <t>4000175 K2 Ground Mount Pipe Bracket Kit (U Clamp) 3"</t>
  </si>
  <si>
    <t>K2 Ground Mount Pipe Bracket Kit 3"</t>
  </si>
  <si>
    <t>4001221 K2 Ground Mount End Cap, CR80</t>
  </si>
  <si>
    <t>K2 Ground Mount EndCap, Black, CR80</t>
  </si>
  <si>
    <t>Ground Screws 63"</t>
  </si>
  <si>
    <t>63" Ground Screw American Ground Screw</t>
  </si>
  <si>
    <t>60" Front N/S Pipe 3"</t>
  </si>
  <si>
    <t>60" Front N/S Pipe (3" diameter)</t>
  </si>
  <si>
    <t>120" Rear N/S Pipe 3"</t>
  </si>
  <si>
    <t>120" Rear N/S Pipe (3" diameter)</t>
  </si>
  <si>
    <t>112-240" E/W Pipe, 2.5" diameter</t>
  </si>
  <si>
    <t>112-240" E/W Pipe, 2.5" (diameter)</t>
  </si>
  <si>
    <t>Diagonal Tube Brace 92"</t>
  </si>
  <si>
    <t>TBD</t>
  </si>
  <si>
    <t>Truck Stock</t>
  </si>
  <si>
    <t>NCG75 75 Cable Gland</t>
  </si>
  <si>
    <t>3/4" Non-Metallic Cord Grip Connector (Eaton Crouse-Hinds)</t>
  </si>
  <si>
    <t>QUANTITY</t>
  </si>
  <si>
    <t>DU221RB</t>
  </si>
  <si>
    <t>30A SQ-D NON-FUSED DISCONNECT</t>
  </si>
  <si>
    <t>Electrical BOM</t>
  </si>
  <si>
    <t>DU222RB</t>
  </si>
  <si>
    <t>60A SQ-D NON-FUSED DISCONNECT</t>
  </si>
  <si>
    <t>DU323RB</t>
  </si>
  <si>
    <t>100A SQ-D NON-FUSED DISCONNECT (3 Poles)</t>
  </si>
  <si>
    <t>DU324RB</t>
  </si>
  <si>
    <t>200A SQ-D NON-FUSED DISCONNECT (3 Poles)</t>
  </si>
  <si>
    <t>D222NRB</t>
  </si>
  <si>
    <t>60A SQ-D FUSED DISCONNECT</t>
  </si>
  <si>
    <t>D223NRB</t>
  </si>
  <si>
    <t>100A SQ-D FUSED DISCONNECT</t>
  </si>
  <si>
    <t>D224NRB</t>
  </si>
  <si>
    <t>200A SQ-D FUSED DISCONNECT</t>
  </si>
  <si>
    <t>B075</t>
  </si>
  <si>
    <t>3/4 B Hub SQ-D (30/60A Disco)</t>
  </si>
  <si>
    <t>B125</t>
  </si>
  <si>
    <t>1-1/4" B Hub SQ-D (100A Disco)</t>
  </si>
  <si>
    <t>B200</t>
  </si>
  <si>
    <t>2" B Hub SQ-D (200A Disco)</t>
  </si>
  <si>
    <t>EN-EP200G-NA-02-RSD (SI16-PEL64R-2)</t>
  </si>
  <si>
    <t xml:space="preserve">16A IMO DC DISCONNECT (SINGLE STRING) Enphase Branded </t>
  </si>
  <si>
    <t>SI32-PEL64R-4</t>
  </si>
  <si>
    <t>32A IMO DC DISCONNECT (TWO STRINGS)</t>
  </si>
  <si>
    <t>PE69-3020</t>
  </si>
  <si>
    <t>IMO Isolator 3 Pole 20A Enclosed IP66</t>
  </si>
  <si>
    <t>PB2-300 </t>
  </si>
  <si>
    <t xml:space="preserve">ILSCO dual Stepped Lug </t>
  </si>
  <si>
    <t>PK23GTACP</t>
  </si>
  <si>
    <t>SQUARE D 23 TERM GROUND BAR KIT</t>
  </si>
  <si>
    <t>LK100ANCP</t>
  </si>
  <si>
    <t>Ground Lug for large conductors</t>
  </si>
  <si>
    <t>SGB-386CL</t>
  </si>
  <si>
    <t>SPLIT 2-PIECE GROUNDING BUSHING</t>
  </si>
  <si>
    <t>K4977-INT</t>
  </si>
  <si>
    <t>MILBANK DUAL SLIDE IN LUGS</t>
  </si>
  <si>
    <t>NSI IT-3/0</t>
  </si>
  <si>
    <t>NSI IT-3/0 PASS THROUGH TAP</t>
  </si>
  <si>
    <t>NSI IT-250</t>
  </si>
  <si>
    <t>NSI IT-250 PASS THROUGH TAP</t>
  </si>
  <si>
    <t>12"X12"X 6" OUTDOOR PVC (Generic Brand)</t>
  </si>
  <si>
    <t>8"x 8" x 4" OUTDOOR PVC (Generic Brand)</t>
  </si>
  <si>
    <t>X-IQ-AM1-240-5-HDK</t>
  </si>
  <si>
    <t>Enphase IQ COMBINER 5 w/ Hold Down Kit</t>
  </si>
  <si>
    <t>CELLMODEM-07-NA-05</t>
  </si>
  <si>
    <t>Enphase CELL KIT</t>
  </si>
  <si>
    <t>X-IQ-AM1-240-5C-HDK</t>
  </si>
  <si>
    <t xml:space="preserve">Enphase IQ COMBINER 5C w/ CELL KIT and Hold Down Kit </t>
  </si>
  <si>
    <t>ENV2-IQ-AM1-240</t>
  </si>
  <si>
    <t>Enphase IQ Envoy (Standalone Gateway)</t>
  </si>
  <si>
    <t>IQBATTERY-5P-1P-NA-DOM</t>
  </si>
  <si>
    <t>Enphase IQ-5P Battery Domestic</t>
  </si>
  <si>
    <t>IQBATTERY-5P-1P-NA</t>
  </si>
  <si>
    <t>Enphase IQ-5P Battery Non-Domestic</t>
  </si>
  <si>
    <t>IQBATTERY-5P-1P-NA-43.6DOM</t>
  </si>
  <si>
    <t>Enphase IQ-5P Battery 43.6% Domestic</t>
  </si>
  <si>
    <t>SC200D111C240US01</t>
  </si>
  <si>
    <t>Enphase IQ System Controller 3 Standard</t>
  </si>
  <si>
    <t>IQBATTERY-10-C-1P-DOM</t>
  </si>
  <si>
    <t>Enphase IQ-10C Battery  - (2) B05-C01-US00-1-3-DOM, (1) EN-B10C-NC-0708-O-DOM</t>
  </si>
  <si>
    <t>X-IQ-AM1-240-6C-3BRK</t>
  </si>
  <si>
    <t>Enphase IQ COMBINER 6C (reqd with 10C Battery)</t>
  </si>
  <si>
    <t>MC-200-011-V01</t>
  </si>
  <si>
    <t>Enphase IQ Meter Collar (reqd with 10C Battery)</t>
  </si>
  <si>
    <t>CTRL-SC3-NA-01 </t>
  </si>
  <si>
    <t>Enphase control cable</t>
  </si>
  <si>
    <t>X-IQ-NA-HD-125A</t>
  </si>
  <si>
    <t>Enphase Hold Down Kit for IQ Combiner</t>
  </si>
  <si>
    <t>CT-200-CLAMP</t>
  </si>
  <si>
    <t>Enphase CT Clamp</t>
  </si>
  <si>
    <t>TSL-PWRW3-DOM (1707000-21)</t>
  </si>
  <si>
    <t>Tesla Powerwall 3 Battery + Inverter (Domestic)</t>
  </si>
  <si>
    <t>TSL-PWRW3 (1707000-11)</t>
  </si>
  <si>
    <t>Tesla Powerwall 3 Battery + Inverter (Non-Domestic)</t>
  </si>
  <si>
    <t>TSL-GTWY3 (1841000)</t>
  </si>
  <si>
    <t>Tesla Energy Gateway 3</t>
  </si>
  <si>
    <t>TSL-INVRTR-7600 (1538000-45)</t>
  </si>
  <si>
    <t xml:space="preserve">Tesla INVERTER 7.6 kW </t>
  </si>
  <si>
    <t>TSL-REMOTE-METER (2045796-00A)</t>
  </si>
  <si>
    <t>Tesla REMOTE METER for AC coupled system</t>
  </si>
  <si>
    <t>TSL-BCKUPSWITCH (1624171)</t>
  </si>
  <si>
    <t>Tesla Backup Switch</t>
  </si>
  <si>
    <t>TSL-PWRW3-EXPANS-DOM (1807000-20-B)</t>
  </si>
  <si>
    <t>Tesla Powerwall 3 Battery Expansion Unit (Domestic)</t>
  </si>
  <si>
    <t>TSL-PWRW3-EXPANS (1807000-10-B)</t>
  </si>
  <si>
    <t>Tesla Powerwall 3 Battery Expansion Unit (Non Domestic)</t>
  </si>
  <si>
    <t>TSL-PWRW3-EXPANS-STACK-KIT (1978070)</t>
  </si>
  <si>
    <t>Tesla Expansion Unit Stacking Kit</t>
  </si>
  <si>
    <t>TSL-PWRW3-EXPANS-WM-KIT (1978069)</t>
  </si>
  <si>
    <t>Tesla Expansion Unit Wall Mount Kit (w/Front Cover)</t>
  </si>
  <si>
    <t>TSL-PWRW3-EXP-HRNSS-.05 (1875157-05-y)</t>
  </si>
  <si>
    <t>Tesla Expansion Harness (1.64ft - Stack)</t>
  </si>
  <si>
    <t>TSL-PWRW3-EXP-HRNSS-2 (1875157-20-y)</t>
  </si>
  <si>
    <t>Tesla Expansion Harness (6.56ft - Wall Mount)</t>
  </si>
  <si>
    <t>Tesla Expansion Harness (13.12ft - Wall Mount)</t>
  </si>
  <si>
    <t>TSL-PW3-ACC (1857363-00)</t>
  </si>
  <si>
    <t>Tesla Accessory Bag (comes with PW3)</t>
  </si>
  <si>
    <t>TSL-CONDUIT-HUB-1.25 (1549184-01)</t>
  </si>
  <si>
    <t>Tesla 1.25” Conduit Hub Kit - 1.25” conduit hub and bolts</t>
  </si>
  <si>
    <t>TSL-CONDUIT-HUB-2 (1549184-01)</t>
  </si>
  <si>
    <t>Tesla 2in Conduit Hub kit - 2” conduit hub and bolts</t>
  </si>
  <si>
    <t>BRP20L125R</t>
  </si>
  <si>
    <t xml:space="preserve">EATON LC MLO 20 SPACE 125A </t>
  </si>
  <si>
    <t>HOM48L125GC</t>
  </si>
  <si>
    <t xml:space="preserve">Square D LC MLO 4 SPACE 125A </t>
  </si>
  <si>
    <t>HOM48L125GRB</t>
  </si>
  <si>
    <t>HOM2040M100PC</t>
  </si>
  <si>
    <t>Square D 100A Homeline MSP 20/40</t>
  </si>
  <si>
    <t>HOM3060M100PC</t>
  </si>
  <si>
    <t>Square D 100A Homeline MSP 30/60</t>
  </si>
  <si>
    <t>HOM3060M200PC</t>
  </si>
  <si>
    <t>Square D 200A Homeline MSP 30/60</t>
  </si>
  <si>
    <t>HOM4080M200PC</t>
  </si>
  <si>
    <t>Square D 200A Homeline MSP 40/80</t>
  </si>
  <si>
    <t>HOM816M200PFTRB</t>
  </si>
  <si>
    <t>SQ-D Homeline 200A Main Breaker Panel w/Feed-Thru Lug</t>
  </si>
  <si>
    <t>U8949-RL-TG-KK-CECHA</t>
  </si>
  <si>
    <t xml:space="preserve">ComEd METER BASE MILBANK </t>
  </si>
  <si>
    <t>U8436-O-CECHA</t>
  </si>
  <si>
    <t xml:space="preserve">ComEd Meter </t>
  </si>
  <si>
    <t>NU8980-O-200-KK-CECHA</t>
  </si>
  <si>
    <t xml:space="preserve">COMED METER PEDESTAL MILBANK </t>
  </si>
  <si>
    <t>U5168-XTL-100-KK-CECHA</t>
  </si>
  <si>
    <t>COMED Meter Main 100A</t>
  </si>
  <si>
    <t>U5168-XTL-200-KK-CECHA</t>
  </si>
  <si>
    <t>COMED Meter Main 200A</t>
  </si>
  <si>
    <t>U1773-XL-TG-KK</t>
  </si>
  <si>
    <t>WE Single Position Meter Socket, 200 Amp, 1 Phase, Ringless, Horn, 4 Term, OH, UG, 600V, Triplex</t>
  </si>
  <si>
    <t>U9551-RXL-QG-5T9-AMS</t>
  </si>
  <si>
    <t>Ameren OH lever bypass (no service disconnect)</t>
  </si>
  <si>
    <t>S40405-02QG</t>
  </si>
  <si>
    <t>Ameren OH lever bypass (Siemens sub for U9551)</t>
  </si>
  <si>
    <t>U6281-XL-100-5T6-AMS</t>
  </si>
  <si>
    <t>Ameren Meter/Main 100A</t>
  </si>
  <si>
    <t xml:space="preserve">U6281-XL-100-5T9 </t>
  </si>
  <si>
    <t>U6281-XL-200-5T6-AMS</t>
  </si>
  <si>
    <t>Ameren meter/main 200A</t>
  </si>
  <si>
    <t>U6281-XL-200-5T9</t>
  </si>
  <si>
    <t>Special Order Meter: (Part Number)</t>
  </si>
  <si>
    <t xml:space="preserve">Special Order Meter: </t>
  </si>
  <si>
    <t>BR115</t>
  </si>
  <si>
    <t>15A 1P BREAKER (EATON)</t>
  </si>
  <si>
    <t>BR120</t>
  </si>
  <si>
    <t>20A 1P BREAKER (EATON)</t>
  </si>
  <si>
    <t>BR130</t>
  </si>
  <si>
    <t>30A 1P BREAKER (EATON)</t>
  </si>
  <si>
    <t>BR215</t>
  </si>
  <si>
    <t>15A 2P BREAKER (EATON)</t>
  </si>
  <si>
    <t>BR220</t>
  </si>
  <si>
    <t>20A 2P BREAKER (EATON)</t>
  </si>
  <si>
    <t>BR230</t>
  </si>
  <si>
    <t>30A 2P BREAKER (EATON)</t>
  </si>
  <si>
    <t>BR240</t>
  </si>
  <si>
    <t>40A 2P BREAKER (EATON)</t>
  </si>
  <si>
    <t>BR250</t>
  </si>
  <si>
    <t>50A 2P BREAKER (EATON)</t>
  </si>
  <si>
    <t>BR260</t>
  </si>
  <si>
    <t>60A 2P BREAKER (EATON)</t>
  </si>
  <si>
    <t>BR270</t>
  </si>
  <si>
    <t>70A 2P BREAKER (EATON)</t>
  </si>
  <si>
    <t>BR280</t>
  </si>
  <si>
    <t>80A 2P BREAKER (EATON)</t>
  </si>
  <si>
    <t>BR2100</t>
  </si>
  <si>
    <t>100A 2P BREAKER (EATON)</t>
  </si>
  <si>
    <t>BR2125</t>
  </si>
  <si>
    <t>125A 2P BREAKER (EATON)</t>
  </si>
  <si>
    <t xml:space="preserve">BQ220240 </t>
  </si>
  <si>
    <t>Eaton/Cutler-Hammer Quad Circuit Breaker</t>
  </si>
  <si>
    <t>Eaton CSR2100</t>
  </si>
  <si>
    <t>EATON CSR 100A MAIN BREAKER</t>
  </si>
  <si>
    <t>Eaton CSR2125</t>
  </si>
  <si>
    <t>EATON CSR 125A MAIN BREAKER</t>
  </si>
  <si>
    <t>Eaton CSR2200  </t>
  </si>
  <si>
    <t xml:space="preserve">EATON CSR 200A MAIN BREAKER </t>
  </si>
  <si>
    <t>HOM115</t>
  </si>
  <si>
    <t>15A 1P BREAKER (HOMELINE)</t>
  </si>
  <si>
    <t>HOM120</t>
  </si>
  <si>
    <t>20A 1P BREAKER (HOMELINE)</t>
  </si>
  <si>
    <t>HOM130</t>
  </si>
  <si>
    <t>30A 1P BREAKER (HOMELINE)</t>
  </si>
  <si>
    <t>HOM215</t>
  </si>
  <si>
    <t>15A 2P BREAKER (HOMELINE)</t>
  </si>
  <si>
    <t>HOM220</t>
  </si>
  <si>
    <t>20A 2P BREAKER (HOMELINE)</t>
  </si>
  <si>
    <t>HOM230</t>
  </si>
  <si>
    <t>30A 2P BREAKER (HOMELINE)</t>
  </si>
  <si>
    <t>HOM240</t>
  </si>
  <si>
    <t>40A 2P BREAKER (HOMELINE)</t>
  </si>
  <si>
    <t>HOM250</t>
  </si>
  <si>
    <t>50A 2P BREAKER (HOMELINE)</t>
  </si>
  <si>
    <t>HOM260</t>
  </si>
  <si>
    <t>60A 2P BREAKER (HOMELINE)</t>
  </si>
  <si>
    <t>HOM270</t>
  </si>
  <si>
    <t>70A 2P BREAKER (HOMELINE)</t>
  </si>
  <si>
    <t>HOM280</t>
  </si>
  <si>
    <t>80A 2P BREAKER (HOMELINE)</t>
  </si>
  <si>
    <t>HOM2100</t>
  </si>
  <si>
    <t>100A 2P BREAKER (HOMELINE)</t>
  </si>
  <si>
    <t>NO.263-R</t>
  </si>
  <si>
    <t>FUSE REDUCERS</t>
  </si>
  <si>
    <t>FRN-R-15</t>
  </si>
  <si>
    <t>15A FUSE</t>
  </si>
  <si>
    <t>FRN-R-20</t>
  </si>
  <si>
    <t>20A FUSE</t>
  </si>
  <si>
    <t>FRN-R-25</t>
  </si>
  <si>
    <t>25A FUSE</t>
  </si>
  <si>
    <t>FRN-R-30</t>
  </si>
  <si>
    <t>30A FUSE</t>
  </si>
  <si>
    <t>FRN-R-35</t>
  </si>
  <si>
    <t>35A  FUSE</t>
  </si>
  <si>
    <t>FRN-R-40</t>
  </si>
  <si>
    <t>40A FUSE</t>
  </si>
  <si>
    <t>FRN-R-45</t>
  </si>
  <si>
    <t>45A FUSE</t>
  </si>
  <si>
    <t>FRN-R-50</t>
  </si>
  <si>
    <t>50A FUSE</t>
  </si>
  <si>
    <t>FRN-R-60</t>
  </si>
  <si>
    <t>60A FUSE</t>
  </si>
  <si>
    <t>FRN-R-70</t>
  </si>
  <si>
    <t>70A FUSE</t>
  </si>
  <si>
    <t>FRN-R-80</t>
  </si>
  <si>
    <t>80A FUSE</t>
  </si>
  <si>
    <t>FRN-R-90</t>
  </si>
  <si>
    <t>90A FUSE</t>
  </si>
  <si>
    <t>FRN-R-100</t>
  </si>
  <si>
    <t>100A FUSE</t>
  </si>
  <si>
    <t>FRN-R-125</t>
  </si>
  <si>
    <t>125A FUSE</t>
  </si>
  <si>
    <t>FRN-R-200</t>
  </si>
  <si>
    <t>200A FUSE</t>
  </si>
  <si>
    <t>SPN-1-00800</t>
  </si>
  <si>
    <t>32 Space SPAN PANEL 200A</t>
  </si>
  <si>
    <t>SPN-PL7R-40MID200-FG</t>
  </si>
  <si>
    <t xml:space="preserve">40 Space SPAN PANEL 200A </t>
  </si>
  <si>
    <t>SPN-PL7R-48MLO225-FG</t>
  </si>
  <si>
    <t>SPAN PANEL MLO 48 - 200A main lug only</t>
  </si>
  <si>
    <t>ChargePoint EV Charger</t>
  </si>
  <si>
    <t>ChargePoint Home Flex Hardwired General Plug (J1772)</t>
  </si>
  <si>
    <t>Tesla EV Charger</t>
  </si>
  <si>
    <t>TESLA Branded EV Charger</t>
  </si>
  <si>
    <t>BRK-HD6135FB</t>
  </si>
  <si>
    <t xml:space="preserve">First Alert Heat Alarm </t>
  </si>
  <si>
    <t>Interlinkable Smoke Detector</t>
  </si>
  <si>
    <t>Interlinkable Smoke and CO2 Detector</t>
  </si>
  <si>
    <t>Q.TRON BLK M-G2+/AC 430W</t>
  </si>
  <si>
    <t>430W Q. TRON MODULES</t>
  </si>
  <si>
    <t>ELNSM54M-HC-415-DC:BS-E-J</t>
  </si>
  <si>
    <t>415W SIRIUS MODULES</t>
  </si>
  <si>
    <t>Q.PEAK DUO BLK ML-G10.C+ 410</t>
  </si>
  <si>
    <t>410W HANWHA Q.CELLS Q.PEAK DUO MODULES</t>
  </si>
  <si>
    <t>Q.PEAK DUO BLK ML-G10.C+ 415</t>
  </si>
  <si>
    <t>415W HANWHA Q.CELLS Q.PEAK DUO MODULES</t>
  </si>
  <si>
    <t>JAM54S31-405/MR</t>
  </si>
  <si>
    <t>405W JA SOLAR MODULES</t>
  </si>
  <si>
    <t>JAM54D41-440/MB</t>
  </si>
  <si>
    <t>440W JA SOLAR MODULES</t>
  </si>
  <si>
    <t>4000017 K2 Metal Roof Standard Seam Attchmnt</t>
  </si>
  <si>
    <t>K2 Standard Standing Seam PowerClamp,  (comes w/ L Foot) Metal Roof</t>
  </si>
  <si>
    <t>4000308 K2 Metal Roof Trapezoidal (Protea)</t>
  </si>
  <si>
    <t>K2 Trapezoidal PowerClamp, Kit (comes w/ L Foot, screws) Metal Roof</t>
  </si>
  <si>
    <t>Remove</t>
  </si>
  <si>
    <t>4000559 K2 Armor w/Big Foot, Kit (Flashloc)</t>
  </si>
  <si>
    <t>K2 Armor w/Big Foot, Kit for FLAT ROOF</t>
  </si>
  <si>
    <t xml:space="preserve">4000218 K2 Big Foot 6" L Foot </t>
  </si>
  <si>
    <t>K2 Big Foot 6" w/ 3"+ Chem Link Clip, Tilt</t>
  </si>
  <si>
    <t>4000080 K2 T-Foot X 6" Mill</t>
  </si>
  <si>
    <t>4000080 K2 T-Foot X 6" Mill, Tilt</t>
  </si>
  <si>
    <t>185RLD1-US</t>
  </si>
  <si>
    <t>185" DOMESTIC RAIL DARK</t>
  </si>
  <si>
    <t>185RLM1-US</t>
  </si>
  <si>
    <t>185" DOMESTIC RAIL MILL</t>
  </si>
  <si>
    <t>UNI-RLSPLCM2-US</t>
  </si>
  <si>
    <t>DOMESTIC RAIL SPLICE</t>
  </si>
  <si>
    <t>CCLAMPD1-US</t>
  </si>
  <si>
    <t>DOMESTIC COMBO CLAMP</t>
  </si>
  <si>
    <t>003250W</t>
  </si>
  <si>
    <t>DECKING SCREWS</t>
  </si>
  <si>
    <t>SHBUTYLM2-US</t>
  </si>
  <si>
    <t>DOMESTIC STRONGHOLD BUTYL ATTACHMENT</t>
  </si>
  <si>
    <t>WRMCLPD1</t>
  </si>
  <si>
    <t>WIRE MGMT CLIP</t>
  </si>
  <si>
    <t>ENDCAPD1</t>
  </si>
  <si>
    <t>END CAP</t>
  </si>
  <si>
    <t>NULGMLP1-US</t>
  </si>
  <si>
    <t>DOMESTIC MLPE LUG</t>
  </si>
  <si>
    <t>MLPEMNT-US</t>
  </si>
  <si>
    <t>DOMESTIC UNIVERSAL MLPE MOUNT</t>
  </si>
  <si>
    <t>WRMCNSD1</t>
  </si>
  <si>
    <t>WIRE MGMT CLIP NORTH-SOUTH</t>
  </si>
  <si>
    <t>SHCLMPM2</t>
  </si>
  <si>
    <t>STRONGHOLD RAIL CLAMP MILL</t>
  </si>
  <si>
    <t>SHCLMPD1</t>
  </si>
  <si>
    <t>RAIL CLAMP</t>
  </si>
  <si>
    <t>EZSOLAR JB-F.200</t>
  </si>
  <si>
    <t>APR-10K15V2-US</t>
  </si>
  <si>
    <t xml:space="preserve">Franklin Battery WH aPower 2 </t>
  </si>
  <si>
    <t>AGT-R1V2-US</t>
  </si>
  <si>
    <t>Franklin Gateway WH aGate</t>
  </si>
  <si>
    <t>ACCY-CT200V2-US</t>
  </si>
  <si>
    <t>Franklin Accy Split CT Kit</t>
  </si>
  <si>
    <t>ACCY-BLV2-US</t>
  </si>
  <si>
    <t>Franklin Accy Backup Expansion Lug Kit</t>
  </si>
  <si>
    <t>ACCY-SCV2-US</t>
  </si>
  <si>
    <t>Franklin Accy Smart Circuit Module</t>
  </si>
  <si>
    <t>ACCY-GENV2-US</t>
  </si>
  <si>
    <t>Franklin Accy Generator Module</t>
  </si>
  <si>
    <t>ACCY-AHUBV1-US</t>
  </si>
  <si>
    <t>Franklin Accy aHUB (managed by FranklinWH aGate and Meter Adapter Controller)</t>
  </si>
  <si>
    <t>C-B-5-22-60 ConnectDER</t>
  </si>
  <si>
    <t>ConnectDER Meter Socket Adapter 60A</t>
  </si>
  <si>
    <r>
      <t xml:space="preserve">4000629-H-US K2 MLPE Lug DC </t>
    </r>
    <r>
      <rPr>
        <sz val="11"/>
        <color rgb="FFFF0000"/>
        <rFont val="Aptos Narrow"/>
        <family val="2"/>
        <scheme val="minor"/>
      </rPr>
      <t>(with Enphase Only)</t>
    </r>
  </si>
  <si>
    <t>Q-12-17-240</t>
  </si>
  <si>
    <t>Special Order MSP: (enter sku)</t>
  </si>
  <si>
    <t>TSL-PWRW3-DOM (1707000-60-M-LR-2025)</t>
  </si>
  <si>
    <t>Tesla Powerwall 3 Battery + Inverter (Domestic LR ONLY)</t>
  </si>
  <si>
    <t>415W LONGI MODULES</t>
  </si>
  <si>
    <t>TSL-PWRW3-EXP-HRNSS-4 (1875157-40-y)</t>
  </si>
  <si>
    <t>410W QCELL MODULES</t>
  </si>
  <si>
    <t>Q.PEAK DUO BLK ML-G10+ 410W</t>
  </si>
  <si>
    <t>HOM2125</t>
  </si>
  <si>
    <t>125A 2P BREAKER (HOMELINE)</t>
  </si>
  <si>
    <t>LR5-54HPB-415M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</si>
</sst>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0"/>
      <color rgb="FF000000"/>
      <name val="Abadi"/>
      <family val="2"/>
    </font>
    <font>
      <sz val="11"/>
      <color rgb="FF000000"/>
      <name val="Aptos Narrow"/>
      <family val="2"/>
      <scheme val="minor"/>
    </font>
    <font>
      <sz val="11"/>
      <color theme="1"/>
      <name val="Abadi"/>
      <family val="2"/>
    </font>
    <font>
      <b/>
      <sz val="10"/>
      <color theme="0"/>
      <name val="Abadi"/>
      <family val="2"/>
    </font>
    <font>
      <b/>
      <sz val="11"/>
      <color theme="0"/>
      <name val="Abadi"/>
      <family val="2"/>
    </font>
    <font>
      <sz val="10"/>
      <color rgb="FF000000"/>
      <name val="Abadi"/>
      <family val="2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0" fillId="0" borderId="1" xfId="0" applyBorder="1"/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0" xfId="0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6" xfId="0" applyFont="1" applyBorder="1"/>
    <xf numFmtId="0" fontId="2" fillId="0" borderId="6" xfId="0" applyFont="1" applyBorder="1" applyAlignment="1">
      <alignment horizontal="left"/>
    </xf>
    <xf numFmtId="0" fontId="3" fillId="0" borderId="0" xfId="0" applyFont="1"/>
    <xf numFmtId="0" fontId="3" fillId="0" borderId="5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5" fillId="6" borderId="1" xfId="0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44" fontId="3" fillId="0" borderId="1" xfId="0" applyNumberFormat="1" applyFont="1" applyBorder="1"/>
    <xf numFmtId="0" fontId="3" fillId="0" borderId="6" xfId="0" applyFont="1" applyBorder="1"/>
    <xf numFmtId="0" fontId="6" fillId="0" borderId="6" xfId="0" applyFont="1" applyBorder="1" applyAlignment="1">
      <alignment horizontal="left"/>
    </xf>
    <xf numFmtId="0" fontId="6" fillId="0" borderId="6" xfId="0" applyFont="1" applyBorder="1"/>
    <xf numFmtId="0" fontId="6" fillId="0" borderId="5" xfId="0" applyFont="1" applyBorder="1" applyAlignment="1">
      <alignment horizontal="left"/>
    </xf>
    <xf numFmtId="0" fontId="6" fillId="0" borderId="5" xfId="0" applyFont="1" applyBorder="1"/>
    <xf numFmtId="0" fontId="3" fillId="0" borderId="8" xfId="0" applyFont="1" applyBorder="1"/>
    <xf numFmtId="0" fontId="6" fillId="0" borderId="8" xfId="0" applyFont="1" applyBorder="1" applyAlignment="1">
      <alignment horizontal="left"/>
    </xf>
    <xf numFmtId="0" fontId="6" fillId="0" borderId="8" xfId="0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44" fontId="3" fillId="0" borderId="5" xfId="0" applyNumberFormat="1" applyFont="1" applyBorder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5" xfId="0" applyFont="1" applyBorder="1"/>
    <xf numFmtId="0" fontId="2" fillId="5" borderId="5" xfId="0" applyFont="1" applyFill="1" applyBorder="1"/>
    <xf numFmtId="0" fontId="2" fillId="5" borderId="3" xfId="0" applyFont="1" applyFill="1" applyBorder="1" applyAlignment="1">
      <alignment horizontal="left"/>
    </xf>
    <xf numFmtId="0" fontId="2" fillId="5" borderId="3" xfId="0" applyFont="1" applyFill="1" applyBorder="1"/>
    <xf numFmtId="0" fontId="0" fillId="0" borderId="9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3" xfId="0" applyBorder="1"/>
    <xf numFmtId="0" fontId="0" fillId="0" borderId="11" xfId="0" applyBorder="1"/>
    <xf numFmtId="0" fontId="0" fillId="0" borderId="3" xfId="0" applyBorder="1" applyAlignment="1">
      <alignment horizontal="left"/>
    </xf>
    <xf numFmtId="0" fontId="0" fillId="0" borderId="10" xfId="0" applyBorder="1"/>
    <xf numFmtId="0" fontId="0" fillId="0" borderId="6" xfId="0" applyBorder="1"/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5" borderId="3" xfId="0" applyFill="1" applyBorder="1"/>
    <xf numFmtId="0" fontId="2" fillId="0" borderId="4" xfId="0" applyFont="1" applyBorder="1"/>
    <xf numFmtId="0" fontId="2" fillId="0" borderId="2" xfId="0" applyFont="1" applyBorder="1"/>
    <xf numFmtId="0" fontId="2" fillId="0" borderId="0" xfId="0" applyFont="1"/>
    <xf numFmtId="0" fontId="2" fillId="3" borderId="1" xfId="0" applyFont="1" applyFill="1" applyBorder="1"/>
    <xf numFmtId="0" fontId="8" fillId="2" borderId="1" xfId="0" applyFont="1" applyFill="1" applyBorder="1"/>
    <xf numFmtId="0" fontId="8" fillId="6" borderId="1" xfId="0" applyFont="1" applyFill="1" applyBorder="1"/>
    <xf numFmtId="0" fontId="2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3FDEF71-B81B-42E3-A4A0-13B43DD91D45}">
  <we:reference id="cec2c794-cfc7-4347-a54b-1ced872b6768" version="1.0.0.13" store="excatalog" storeType="excatalog"/>
  <we:alternateReferences>
    <we:reference id="WA200005502" version="1.0.0.13" store="en-us" storeType="omex"/>
  </we:alternateReferences>
  <we:properties>
    <we:property name="docId" value="&quot;OWOioCbEuC6l7s92GwuN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BED0ABB2-B2B7-49CE-BDE6-882A69FDAE4C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4fb63348-13d7-4a43-84ec-1ddaf32eb3b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FAFC-D0AD-4B39-A938-891DDEB0F24E}">
  <sheetPr codeName="Sheet1"/>
  <dimension ref="A1:E93"/>
  <sheetViews>
    <sheetView tabSelected="1" workbookViewId="0">
      <pane ySplit="4" topLeftCell="A5" activePane="bottomLeft" state="frozen"/>
      <selection pane="bottomLeft" activeCell="B10" sqref="B10"/>
    </sheetView>
  </sheetViews>
  <sheetFormatPr defaultRowHeight="15" customHeight="1" x14ac:dyDescent="0.3"/>
  <cols>
    <col min="1" max="1" width="17.109375" style="75" bestFit="1" customWidth="1"/>
    <col min="2" max="2" width="47" style="10" bestFit="1" customWidth="1"/>
    <col min="3" max="3" width="62.88671875" bestFit="1" customWidth="1"/>
    <col min="4" max="4" width="13.109375" customWidth="1"/>
    <col min="5" max="5" width="36.33203125" style="10" bestFit="1" customWidth="1"/>
  </cols>
  <sheetData>
    <row r="1" spans="1:5" ht="14.4" x14ac:dyDescent="0.3">
      <c r="A1" s="75" t="s">
        <v>0</v>
      </c>
    </row>
    <row r="2" spans="1:5" ht="14.4" x14ac:dyDescent="0.3">
      <c r="A2" s="75" t="s">
        <v>1</v>
      </c>
    </row>
    <row r="3" spans="1:5" ht="14.4" x14ac:dyDescent="0.3">
      <c r="A3" s="75" t="s">
        <v>2</v>
      </c>
    </row>
    <row r="4" spans="1:5" ht="14.4" x14ac:dyDescent="0.3">
      <c r="A4" s="71" t="s">
        <v>3</v>
      </c>
      <c r="B4" s="66" t="s">
        <v>4</v>
      </c>
      <c r="C4" s="66" t="s">
        <v>5</v>
      </c>
      <c r="D4" s="67" t="s">
        <v>6</v>
      </c>
      <c r="E4"/>
    </row>
    <row r="5" spans="1:5" ht="14.4" x14ac:dyDescent="0.3">
      <c r="A5" s="72"/>
      <c r="B5" s="11" t="s">
        <v>7</v>
      </c>
      <c r="C5" s="7" t="s">
        <v>8</v>
      </c>
      <c r="D5" s="51" t="s">
        <v>9</v>
      </c>
      <c r="E5" s="52"/>
    </row>
    <row r="6" spans="1:5" ht="14.4" x14ac:dyDescent="0.3">
      <c r="A6" s="72"/>
      <c r="B6" s="62" t="s">
        <v>461</v>
      </c>
      <c r="C6" s="63" t="s">
        <v>460</v>
      </c>
      <c r="D6" s="51" t="s">
        <v>9</v>
      </c>
      <c r="E6" s="53"/>
    </row>
    <row r="7" spans="1:5" ht="14.4" x14ac:dyDescent="0.3">
      <c r="A7" s="72"/>
      <c r="B7" s="62" t="s">
        <v>10</v>
      </c>
      <c r="C7" s="63" t="s">
        <v>11</v>
      </c>
      <c r="D7" s="51" t="s">
        <v>9</v>
      </c>
      <c r="E7" s="52"/>
    </row>
    <row r="8" spans="1:5" ht="14.4" x14ac:dyDescent="0.3">
      <c r="A8" s="72"/>
      <c r="B8" s="64" t="s">
        <v>12</v>
      </c>
      <c r="C8" s="3" t="s">
        <v>13</v>
      </c>
      <c r="D8" s="51" t="s">
        <v>9</v>
      </c>
      <c r="E8" s="52"/>
    </row>
    <row r="9" spans="1:5" ht="14.4" x14ac:dyDescent="0.3">
      <c r="A9" s="72"/>
      <c r="B9" s="64" t="s">
        <v>464</v>
      </c>
      <c r="C9" s="3" t="s">
        <v>458</v>
      </c>
      <c r="D9" s="51" t="s">
        <v>9</v>
      </c>
      <c r="E9" s="52"/>
    </row>
    <row r="10" spans="1:5" ht="14.4" x14ac:dyDescent="0.3">
      <c r="A10" s="72"/>
      <c r="B10" s="54"/>
      <c r="C10" s="3"/>
      <c r="D10" s="51" t="s">
        <v>14</v>
      </c>
      <c r="E10" s="52"/>
    </row>
    <row r="11" spans="1:5" ht="14.4" x14ac:dyDescent="0.3">
      <c r="A11" s="72"/>
      <c r="B11" s="11" t="s">
        <v>15</v>
      </c>
      <c r="C11" s="7" t="s">
        <v>16</v>
      </c>
      <c r="D11" s="51" t="s">
        <v>9</v>
      </c>
      <c r="E11" s="55"/>
    </row>
    <row r="12" spans="1:5" ht="14.4" x14ac:dyDescent="0.3">
      <c r="A12" s="72"/>
      <c r="B12" s="11" t="s">
        <v>17</v>
      </c>
      <c r="C12" s="7" t="s">
        <v>18</v>
      </c>
      <c r="D12" s="51" t="s">
        <v>9</v>
      </c>
      <c r="E12" s="55"/>
    </row>
    <row r="13" spans="1:5" ht="14.4" x14ac:dyDescent="0.3">
      <c r="A13" s="72"/>
      <c r="B13" t="s">
        <v>19</v>
      </c>
      <c r="C13" s="7" t="s">
        <v>20</v>
      </c>
      <c r="D13" s="51" t="s">
        <v>9</v>
      </c>
      <c r="E13" s="52"/>
    </row>
    <row r="14" spans="1:5" ht="14.4" x14ac:dyDescent="0.3">
      <c r="A14" s="72"/>
      <c r="B14" s="11" t="s">
        <v>454</v>
      </c>
      <c r="C14" s="7" t="s">
        <v>21</v>
      </c>
      <c r="D14" s="51" t="s">
        <v>9</v>
      </c>
      <c r="E14" s="52"/>
    </row>
    <row r="15" spans="1:5" ht="14.4" x14ac:dyDescent="0.3">
      <c r="A15" s="72"/>
      <c r="B15" s="11" t="s">
        <v>22</v>
      </c>
      <c r="C15" s="7" t="s">
        <v>23</v>
      </c>
      <c r="D15" s="51" t="s">
        <v>9</v>
      </c>
      <c r="E15" s="52"/>
    </row>
    <row r="16" spans="1:5" ht="14.4" x14ac:dyDescent="0.3">
      <c r="A16" s="72"/>
      <c r="B16" s="11" t="s">
        <v>24</v>
      </c>
      <c r="C16" s="7" t="s">
        <v>25</v>
      </c>
      <c r="D16" s="51" t="s">
        <v>9</v>
      </c>
      <c r="E16" s="52"/>
    </row>
    <row r="17" spans="1:5" ht="14.4" x14ac:dyDescent="0.3">
      <c r="A17" s="72"/>
      <c r="B17" s="11" t="s">
        <v>26</v>
      </c>
      <c r="C17" s="7" t="s">
        <v>27</v>
      </c>
      <c r="D17" s="51" t="s">
        <v>9</v>
      </c>
      <c r="E17" s="52"/>
    </row>
    <row r="18" spans="1:5" ht="14.4" x14ac:dyDescent="0.3">
      <c r="A18" s="72"/>
      <c r="B18" s="11" t="s">
        <v>28</v>
      </c>
      <c r="C18" s="7" t="s">
        <v>29</v>
      </c>
      <c r="D18" s="51" t="s">
        <v>9</v>
      </c>
      <c r="E18" s="52"/>
    </row>
    <row r="19" spans="1:5" ht="14.4" x14ac:dyDescent="0.3">
      <c r="A19" s="72"/>
      <c r="B19" s="54"/>
      <c r="C19" s="3"/>
      <c r="D19" s="51"/>
      <c r="E19" s="52"/>
    </row>
    <row r="20" spans="1:5" ht="14.4" x14ac:dyDescent="0.3">
      <c r="A20" s="72"/>
      <c r="B20" s="11" t="s">
        <v>30</v>
      </c>
      <c r="C20" s="7" t="s">
        <v>31</v>
      </c>
      <c r="D20" s="51" t="s">
        <v>9</v>
      </c>
      <c r="E20" s="52"/>
    </row>
    <row r="21" spans="1:5" ht="14.4" x14ac:dyDescent="0.3">
      <c r="A21" s="72"/>
      <c r="B21" s="54"/>
      <c r="C21" s="3"/>
      <c r="D21" s="51"/>
      <c r="E21" s="52"/>
    </row>
    <row r="22" spans="1:5" ht="14.4" x14ac:dyDescent="0.3">
      <c r="A22" s="72"/>
      <c r="B22" s="11" t="s">
        <v>32</v>
      </c>
      <c r="C22" s="7" t="s">
        <v>33</v>
      </c>
      <c r="D22" s="51" t="s">
        <v>9</v>
      </c>
      <c r="E22" s="52"/>
    </row>
    <row r="23" spans="1:5" ht="14.4" x14ac:dyDescent="0.3">
      <c r="A23" s="72"/>
      <c r="B23" s="11" t="s">
        <v>34</v>
      </c>
      <c r="C23" s="7" t="s">
        <v>35</v>
      </c>
      <c r="D23" s="51" t="s">
        <v>9</v>
      </c>
      <c r="E23" s="52"/>
    </row>
    <row r="24" spans="1:5" ht="14.4" x14ac:dyDescent="0.3">
      <c r="A24" s="72"/>
      <c r="B24" s="54"/>
      <c r="C24" s="3"/>
      <c r="D24" s="51"/>
      <c r="E24" s="52"/>
    </row>
    <row r="25" spans="1:5" ht="14.4" x14ac:dyDescent="0.3">
      <c r="A25" s="72"/>
      <c r="B25" s="11" t="s">
        <v>36</v>
      </c>
      <c r="C25" s="7" t="s">
        <v>37</v>
      </c>
      <c r="D25" s="51" t="s">
        <v>9</v>
      </c>
      <c r="E25" s="52"/>
    </row>
    <row r="26" spans="1:5" ht="14.4" x14ac:dyDescent="0.3">
      <c r="A26" s="72"/>
      <c r="B26" s="11" t="s">
        <v>38</v>
      </c>
      <c r="C26" s="7" t="s">
        <v>39</v>
      </c>
      <c r="D26" s="51" t="s">
        <v>9</v>
      </c>
      <c r="E26" s="52"/>
    </row>
    <row r="27" spans="1:5" ht="14.4" x14ac:dyDescent="0.3">
      <c r="A27" s="72"/>
      <c r="B27" s="11" t="s">
        <v>40</v>
      </c>
      <c r="C27" s="7" t="s">
        <v>41</v>
      </c>
      <c r="D27" s="51" t="s">
        <v>9</v>
      </c>
      <c r="E27" s="52"/>
    </row>
    <row r="28" spans="1:5" ht="14.4" x14ac:dyDescent="0.3">
      <c r="A28" s="72"/>
      <c r="B28" s="56"/>
      <c r="C28" s="3"/>
      <c r="D28" s="51"/>
      <c r="E28" s="52"/>
    </row>
    <row r="29" spans="1:5" ht="14.4" x14ac:dyDescent="0.3">
      <c r="A29" s="73"/>
      <c r="B29" s="46" t="s">
        <v>42</v>
      </c>
      <c r="C29" s="47" t="s">
        <v>43</v>
      </c>
      <c r="D29" s="52" t="s">
        <v>9</v>
      </c>
      <c r="E29" s="52"/>
    </row>
    <row r="30" spans="1:5" ht="14.4" x14ac:dyDescent="0.3">
      <c r="A30" s="72" t="str">
        <f>IF(COUNT($A$5:$A$9)&gt;0, SUM($A$5:$A$9)*6, "")</f>
        <v/>
      </c>
      <c r="B30" s="11" t="s">
        <v>44</v>
      </c>
      <c r="C30" s="7" t="s">
        <v>45</v>
      </c>
      <c r="D30" s="51" t="s">
        <v>9</v>
      </c>
      <c r="E30" s="52"/>
    </row>
    <row r="31" spans="1:5" ht="14.4" x14ac:dyDescent="0.3">
      <c r="A31" s="72"/>
      <c r="B31" s="54"/>
      <c r="C31" s="3"/>
      <c r="D31" s="3"/>
      <c r="E31" s="57"/>
    </row>
    <row r="32" spans="1:5" ht="14.4" x14ac:dyDescent="0.3">
      <c r="A32" s="72"/>
      <c r="B32" s="68" t="s">
        <v>46</v>
      </c>
      <c r="C32" s="69" t="s">
        <v>14</v>
      </c>
      <c r="D32" s="69" t="s">
        <v>14</v>
      </c>
      <c r="E32" s="69" t="s">
        <v>47</v>
      </c>
    </row>
    <row r="33" spans="1:5" ht="14.4" x14ac:dyDescent="0.3">
      <c r="A33" s="72"/>
      <c r="B33" s="11" t="s">
        <v>48</v>
      </c>
      <c r="C33" s="7" t="s">
        <v>49</v>
      </c>
      <c r="D33" s="3" t="s">
        <v>9</v>
      </c>
      <c r="E33" s="6" t="s">
        <v>50</v>
      </c>
    </row>
    <row r="34" spans="1:5" ht="14.4" x14ac:dyDescent="0.3">
      <c r="A34" s="72"/>
      <c r="B34" s="11" t="s">
        <v>51</v>
      </c>
      <c r="C34" s="7" t="s">
        <v>52</v>
      </c>
      <c r="D34" s="3" t="s">
        <v>9</v>
      </c>
      <c r="E34" s="6" t="s">
        <v>50</v>
      </c>
    </row>
    <row r="35" spans="1:5" ht="14.4" x14ac:dyDescent="0.3">
      <c r="A35" s="72"/>
      <c r="B35" s="11" t="s">
        <v>53</v>
      </c>
      <c r="C35" s="7" t="s">
        <v>54</v>
      </c>
      <c r="D35" s="3" t="s">
        <v>9</v>
      </c>
      <c r="E35" s="6" t="s">
        <v>50</v>
      </c>
    </row>
    <row r="36" spans="1:5" ht="14.4" x14ac:dyDescent="0.3">
      <c r="A36" s="74"/>
      <c r="B36" s="16"/>
      <c r="C36" s="17"/>
      <c r="D36" s="58"/>
      <c r="E36" s="18"/>
    </row>
    <row r="37" spans="1:5" ht="14.4" x14ac:dyDescent="0.3">
      <c r="A37" s="73"/>
      <c r="B37" s="46" t="s">
        <v>55</v>
      </c>
      <c r="C37" s="47" t="s">
        <v>56</v>
      </c>
      <c r="D37" s="52" t="s">
        <v>9</v>
      </c>
      <c r="E37" s="46" t="s">
        <v>57</v>
      </c>
    </row>
    <row r="38" spans="1:5" ht="14.4" x14ac:dyDescent="0.3">
      <c r="A38" s="73"/>
      <c r="B38" s="46" t="s">
        <v>58</v>
      </c>
      <c r="C38" s="47" t="s">
        <v>59</v>
      </c>
      <c r="D38" s="52" t="s">
        <v>9</v>
      </c>
      <c r="E38" s="46" t="s">
        <v>57</v>
      </c>
    </row>
    <row r="39" spans="1:5" ht="14.4" x14ac:dyDescent="0.3">
      <c r="A39" s="73"/>
      <c r="B39" s="46" t="s">
        <v>60</v>
      </c>
      <c r="C39" s="47" t="s">
        <v>61</v>
      </c>
      <c r="D39" s="52" t="s">
        <v>9</v>
      </c>
      <c r="E39" s="46" t="s">
        <v>57</v>
      </c>
    </row>
    <row r="40" spans="1:5" ht="14.4" x14ac:dyDescent="0.3">
      <c r="A40" s="73"/>
      <c r="B40" s="46"/>
      <c r="C40" s="47"/>
      <c r="D40" s="52"/>
      <c r="E40" s="46"/>
    </row>
    <row r="41" spans="1:5" ht="14.4" x14ac:dyDescent="0.3">
      <c r="A41" s="73"/>
      <c r="B41" s="46">
        <v>310999</v>
      </c>
      <c r="C41" s="47" t="s">
        <v>62</v>
      </c>
      <c r="D41" s="52" t="s">
        <v>9</v>
      </c>
      <c r="E41" s="52" t="s">
        <v>63</v>
      </c>
    </row>
    <row r="42" spans="1:5" ht="14.4" x14ac:dyDescent="0.3">
      <c r="A42" s="73"/>
      <c r="B42" s="46" t="s">
        <v>64</v>
      </c>
      <c r="C42" s="47" t="s">
        <v>65</v>
      </c>
      <c r="D42" s="52" t="s">
        <v>9</v>
      </c>
      <c r="E42" s="52" t="s">
        <v>63</v>
      </c>
    </row>
    <row r="43" spans="1:5" ht="14.4" x14ac:dyDescent="0.3">
      <c r="A43" s="73"/>
      <c r="B43" s="46" t="s">
        <v>66</v>
      </c>
      <c r="C43" s="47" t="s">
        <v>67</v>
      </c>
      <c r="D43" s="52" t="s">
        <v>9</v>
      </c>
      <c r="E43" s="52" t="s">
        <v>63</v>
      </c>
    </row>
    <row r="44" spans="1:5" ht="14.4" x14ac:dyDescent="0.3">
      <c r="A44" s="73"/>
      <c r="B44" s="53"/>
      <c r="C44" s="52"/>
      <c r="D44" s="52"/>
      <c r="E44" s="53"/>
    </row>
    <row r="45" spans="1:5" ht="14.4" x14ac:dyDescent="0.3">
      <c r="A45" s="72"/>
      <c r="B45" s="11" t="s">
        <v>68</v>
      </c>
      <c r="C45" s="7" t="s">
        <v>69</v>
      </c>
      <c r="D45" s="3" t="s">
        <v>9</v>
      </c>
      <c r="E45" s="6" t="s">
        <v>70</v>
      </c>
    </row>
    <row r="46" spans="1:5" ht="14.4" x14ac:dyDescent="0.3">
      <c r="A46" s="72"/>
      <c r="B46" s="11" t="s">
        <v>71</v>
      </c>
      <c r="C46" s="7" t="s">
        <v>72</v>
      </c>
      <c r="D46" s="3" t="s">
        <v>9</v>
      </c>
      <c r="E46" s="6" t="s">
        <v>70</v>
      </c>
    </row>
    <row r="47" spans="1:5" ht="14.4" x14ac:dyDescent="0.3">
      <c r="A47" s="72"/>
      <c r="B47" s="11" t="s">
        <v>73</v>
      </c>
      <c r="C47" s="7" t="s">
        <v>74</v>
      </c>
      <c r="D47" s="3" t="s">
        <v>9</v>
      </c>
      <c r="E47" s="6" t="s">
        <v>70</v>
      </c>
    </row>
    <row r="48" spans="1:5" ht="14.4" x14ac:dyDescent="0.3">
      <c r="A48" s="72"/>
      <c r="B48" s="11" t="s">
        <v>75</v>
      </c>
      <c r="C48" s="7" t="s">
        <v>76</v>
      </c>
      <c r="D48" s="3" t="s">
        <v>9</v>
      </c>
      <c r="E48" s="6" t="s">
        <v>70</v>
      </c>
    </row>
    <row r="49" spans="1:5" ht="14.4" x14ac:dyDescent="0.3">
      <c r="A49" s="72"/>
      <c r="B49" s="11" t="s">
        <v>453</v>
      </c>
      <c r="C49" s="7" t="s">
        <v>77</v>
      </c>
      <c r="D49" s="3" t="s">
        <v>9</v>
      </c>
      <c r="E49" s="6" t="s">
        <v>70</v>
      </c>
    </row>
    <row r="50" spans="1:5" ht="14.4" x14ac:dyDescent="0.3">
      <c r="A50" s="72"/>
      <c r="B50" s="11" t="s">
        <v>78</v>
      </c>
      <c r="C50" s="7" t="s">
        <v>79</v>
      </c>
      <c r="D50" s="3" t="s">
        <v>9</v>
      </c>
      <c r="E50" s="6" t="s">
        <v>70</v>
      </c>
    </row>
    <row r="51" spans="1:5" ht="14.4" x14ac:dyDescent="0.3">
      <c r="A51" s="72"/>
      <c r="B51" s="11" t="s">
        <v>80</v>
      </c>
      <c r="C51" s="7" t="s">
        <v>81</v>
      </c>
      <c r="D51" s="3" t="s">
        <v>9</v>
      </c>
      <c r="E51" s="6" t="s">
        <v>70</v>
      </c>
    </row>
    <row r="52" spans="1:5" ht="14.4" x14ac:dyDescent="0.3">
      <c r="A52" s="72"/>
      <c r="B52" s="11" t="s">
        <v>82</v>
      </c>
      <c r="C52" s="7" t="s">
        <v>83</v>
      </c>
      <c r="D52" s="3" t="s">
        <v>9</v>
      </c>
      <c r="E52" s="6" t="s">
        <v>70</v>
      </c>
    </row>
    <row r="53" spans="1:5" ht="14.4" x14ac:dyDescent="0.3">
      <c r="A53" s="72"/>
      <c r="B53" s="13"/>
      <c r="C53" s="7"/>
      <c r="D53" s="3" t="s">
        <v>14</v>
      </c>
      <c r="E53" s="7"/>
    </row>
    <row r="54" spans="1:5" ht="14.4" x14ac:dyDescent="0.3">
      <c r="A54" s="72"/>
      <c r="B54" s="54"/>
      <c r="C54" s="3"/>
      <c r="D54" s="3"/>
      <c r="E54" s="3"/>
    </row>
    <row r="55" spans="1:5" ht="14.4" x14ac:dyDescent="0.3">
      <c r="A55" s="72"/>
      <c r="B55" s="68" t="s">
        <v>84</v>
      </c>
      <c r="C55" s="69" t="s">
        <v>14</v>
      </c>
      <c r="D55" s="69" t="s">
        <v>14</v>
      </c>
      <c r="E55" s="69" t="s">
        <v>84</v>
      </c>
    </row>
    <row r="56" spans="1:5" ht="14.4" x14ac:dyDescent="0.3">
      <c r="A56" s="72"/>
      <c r="B56" s="56" t="s">
        <v>85</v>
      </c>
      <c r="C56" s="59" t="s">
        <v>86</v>
      </c>
      <c r="D56" s="3" t="s">
        <v>9</v>
      </c>
      <c r="E56" s="3"/>
    </row>
    <row r="57" spans="1:5" ht="14.4" x14ac:dyDescent="0.3">
      <c r="A57" s="72"/>
      <c r="B57" s="56" t="s">
        <v>87</v>
      </c>
      <c r="C57" s="59" t="s">
        <v>88</v>
      </c>
      <c r="D57" s="3" t="s">
        <v>9</v>
      </c>
      <c r="E57" s="3"/>
    </row>
    <row r="58" spans="1:5" ht="14.4" x14ac:dyDescent="0.3">
      <c r="A58" s="72"/>
      <c r="B58" s="56" t="s">
        <v>89</v>
      </c>
      <c r="C58" s="59" t="s">
        <v>90</v>
      </c>
      <c r="D58" s="3" t="s">
        <v>9</v>
      </c>
      <c r="E58" s="3"/>
    </row>
    <row r="59" spans="1:5" ht="14.4" x14ac:dyDescent="0.3">
      <c r="A59" s="72"/>
      <c r="B59" s="56" t="s">
        <v>91</v>
      </c>
      <c r="C59" s="59" t="s">
        <v>92</v>
      </c>
      <c r="D59" s="3" t="s">
        <v>9</v>
      </c>
      <c r="E59" s="3"/>
    </row>
    <row r="60" spans="1:5" ht="14.4" x14ac:dyDescent="0.3">
      <c r="A60" s="72"/>
      <c r="B60" s="56" t="s">
        <v>93</v>
      </c>
      <c r="C60" s="59" t="s">
        <v>94</v>
      </c>
      <c r="D60" s="3" t="s">
        <v>9</v>
      </c>
      <c r="E60" s="3"/>
    </row>
    <row r="61" spans="1:5" ht="14.4" x14ac:dyDescent="0.3">
      <c r="A61" s="72"/>
      <c r="B61" s="56" t="s">
        <v>95</v>
      </c>
      <c r="C61" s="59" t="s">
        <v>96</v>
      </c>
      <c r="D61" s="3" t="s">
        <v>9</v>
      </c>
      <c r="E61" s="3"/>
    </row>
    <row r="62" spans="1:5" ht="14.4" x14ac:dyDescent="0.3">
      <c r="A62" s="72"/>
      <c r="B62" s="56" t="s">
        <v>97</v>
      </c>
      <c r="C62" s="59" t="s">
        <v>98</v>
      </c>
      <c r="D62" s="3" t="s">
        <v>9</v>
      </c>
      <c r="E62" s="3"/>
    </row>
    <row r="63" spans="1:5" ht="14.4" x14ac:dyDescent="0.3">
      <c r="A63" s="72"/>
      <c r="B63" s="56" t="s">
        <v>99</v>
      </c>
      <c r="C63" s="59" t="s">
        <v>100</v>
      </c>
      <c r="D63" s="3" t="s">
        <v>9</v>
      </c>
      <c r="E63" s="3"/>
    </row>
    <row r="64" spans="1:5" ht="14.4" x14ac:dyDescent="0.3">
      <c r="A64" s="72"/>
      <c r="B64" s="56" t="s">
        <v>101</v>
      </c>
      <c r="C64" s="59" t="s">
        <v>102</v>
      </c>
      <c r="D64" s="3" t="s">
        <v>9</v>
      </c>
      <c r="E64" s="3"/>
    </row>
    <row r="65" spans="1:5" ht="14.4" x14ac:dyDescent="0.3">
      <c r="A65" s="72"/>
      <c r="B65" s="56" t="s">
        <v>103</v>
      </c>
      <c r="C65" s="59" t="s">
        <v>104</v>
      </c>
      <c r="D65" s="3" t="s">
        <v>9</v>
      </c>
      <c r="E65" s="3"/>
    </row>
    <row r="66" spans="1:5" ht="14.4" x14ac:dyDescent="0.3">
      <c r="A66" s="72"/>
      <c r="B66" s="56"/>
      <c r="C66" s="59" t="s">
        <v>14</v>
      </c>
      <c r="D66" s="59" t="s">
        <v>14</v>
      </c>
      <c r="E66" s="59" t="s">
        <v>14</v>
      </c>
    </row>
    <row r="67" spans="1:5" ht="14.4" x14ac:dyDescent="0.3">
      <c r="A67" s="72"/>
      <c r="B67" s="56" t="s">
        <v>105</v>
      </c>
      <c r="C67" s="59" t="s">
        <v>106</v>
      </c>
      <c r="D67" s="3" t="s">
        <v>9</v>
      </c>
      <c r="E67" s="3"/>
    </row>
    <row r="68" spans="1:5" ht="14.4" x14ac:dyDescent="0.3">
      <c r="A68" s="72"/>
      <c r="B68" s="56" t="s">
        <v>107</v>
      </c>
      <c r="C68" s="59" t="s">
        <v>108</v>
      </c>
      <c r="D68" s="3" t="s">
        <v>9</v>
      </c>
      <c r="E68" s="3"/>
    </row>
    <row r="69" spans="1:5" ht="14.4" x14ac:dyDescent="0.3">
      <c r="A69" s="72"/>
      <c r="B69" s="56" t="s">
        <v>109</v>
      </c>
      <c r="C69" s="59" t="s">
        <v>110</v>
      </c>
      <c r="D69" s="3" t="s">
        <v>9</v>
      </c>
      <c r="E69" s="3"/>
    </row>
    <row r="70" spans="1:5" ht="14.4" x14ac:dyDescent="0.3">
      <c r="A70" s="72"/>
      <c r="B70" s="56" t="s">
        <v>111</v>
      </c>
      <c r="C70" s="59" t="s">
        <v>112</v>
      </c>
      <c r="D70" s="3" t="s">
        <v>9</v>
      </c>
      <c r="E70" s="3"/>
    </row>
    <row r="71" spans="1:5" ht="14.4" x14ac:dyDescent="0.3">
      <c r="A71" s="74"/>
      <c r="B71" s="60" t="s">
        <v>113</v>
      </c>
      <c r="C71" s="59"/>
      <c r="D71" s="3" t="s">
        <v>9</v>
      </c>
      <c r="E71" s="3"/>
    </row>
    <row r="72" spans="1:5" ht="14.4" x14ac:dyDescent="0.3">
      <c r="A72" s="73"/>
      <c r="B72" s="70" t="s">
        <v>114</v>
      </c>
      <c r="C72" s="68" t="s">
        <v>115</v>
      </c>
      <c r="D72" s="65"/>
      <c r="E72"/>
    </row>
    <row r="73" spans="1:5" ht="14.4" x14ac:dyDescent="0.3">
      <c r="A73" s="73"/>
      <c r="B73" s="46" t="s">
        <v>116</v>
      </c>
      <c r="C73" s="13" t="s">
        <v>117</v>
      </c>
      <c r="D73" s="3" t="s">
        <v>9</v>
      </c>
      <c r="E73"/>
    </row>
    <row r="74" spans="1:5" ht="14.4" x14ac:dyDescent="0.3">
      <c r="A74" s="73"/>
      <c r="B74" s="46" t="s">
        <v>118</v>
      </c>
      <c r="C74" s="13" t="s">
        <v>119</v>
      </c>
      <c r="D74" s="3" t="s">
        <v>9</v>
      </c>
      <c r="E74"/>
    </row>
    <row r="75" spans="1:5" ht="14.4" x14ac:dyDescent="0.3">
      <c r="A75" s="73"/>
      <c r="B75" s="46" t="s">
        <v>120</v>
      </c>
      <c r="C75" s="13" t="s">
        <v>121</v>
      </c>
      <c r="D75" s="3" t="s">
        <v>9</v>
      </c>
      <c r="E75"/>
    </row>
    <row r="76" spans="1:5" ht="14.4" x14ac:dyDescent="0.3">
      <c r="A76" s="73"/>
      <c r="B76" s="46" t="s">
        <v>122</v>
      </c>
      <c r="C76" s="13" t="s">
        <v>123</v>
      </c>
      <c r="D76" s="3" t="s">
        <v>9</v>
      </c>
      <c r="E76"/>
    </row>
    <row r="77" spans="1:5" ht="14.4" x14ac:dyDescent="0.3">
      <c r="A77" s="73"/>
      <c r="B77" s="46" t="s">
        <v>124</v>
      </c>
      <c r="C77" s="13" t="s">
        <v>125</v>
      </c>
      <c r="D77" s="3" t="s">
        <v>9</v>
      </c>
      <c r="E77"/>
    </row>
    <row r="78" spans="1:5" ht="14.4" x14ac:dyDescent="0.3">
      <c r="A78" s="73"/>
      <c r="B78" s="46" t="s">
        <v>126</v>
      </c>
      <c r="C78" s="13" t="s">
        <v>127</v>
      </c>
      <c r="D78" s="3" t="s">
        <v>9</v>
      </c>
      <c r="E78"/>
    </row>
    <row r="79" spans="1:5" ht="14.4" x14ac:dyDescent="0.3">
      <c r="A79" s="73"/>
      <c r="B79" s="47"/>
      <c r="C79" s="11"/>
      <c r="D79" s="3" t="s">
        <v>14</v>
      </c>
      <c r="E79"/>
    </row>
    <row r="80" spans="1:5" ht="14.4" x14ac:dyDescent="0.3">
      <c r="A80" s="73"/>
      <c r="B80" s="46" t="s">
        <v>75</v>
      </c>
      <c r="C80" s="13" t="s">
        <v>76</v>
      </c>
      <c r="D80" s="3" t="s">
        <v>9</v>
      </c>
      <c r="E80"/>
    </row>
    <row r="81" spans="1:5" ht="14.4" x14ac:dyDescent="0.3">
      <c r="A81" s="73"/>
      <c r="B81" s="11" t="s">
        <v>453</v>
      </c>
      <c r="C81" s="13" t="s">
        <v>77</v>
      </c>
      <c r="D81" s="3" t="s">
        <v>9</v>
      </c>
      <c r="E81"/>
    </row>
    <row r="82" spans="1:5" ht="14.4" x14ac:dyDescent="0.3">
      <c r="A82" s="73"/>
      <c r="B82" s="46" t="s">
        <v>78</v>
      </c>
      <c r="C82" s="13" t="s">
        <v>79</v>
      </c>
      <c r="D82" s="3" t="s">
        <v>9</v>
      </c>
      <c r="E82"/>
    </row>
    <row r="83" spans="1:5" ht="14.4" x14ac:dyDescent="0.3">
      <c r="A83" s="73"/>
      <c r="B83" s="46" t="s">
        <v>82</v>
      </c>
      <c r="C83" s="13" t="s">
        <v>83</v>
      </c>
      <c r="D83" s="3" t="s">
        <v>9</v>
      </c>
      <c r="E83"/>
    </row>
    <row r="84" spans="1:5" ht="14.4" x14ac:dyDescent="0.3">
      <c r="A84" s="73"/>
      <c r="B84" s="53"/>
      <c r="C84" s="54"/>
      <c r="D84" s="3"/>
      <c r="E84"/>
    </row>
    <row r="85" spans="1:5" ht="14.4" x14ac:dyDescent="0.3">
      <c r="A85" s="73"/>
      <c r="B85" s="48" t="s">
        <v>128</v>
      </c>
      <c r="C85" s="49" t="s">
        <v>129</v>
      </c>
      <c r="D85" s="3" t="s">
        <v>9</v>
      </c>
      <c r="E85"/>
    </row>
    <row r="86" spans="1:5" ht="14.4" x14ac:dyDescent="0.3">
      <c r="A86" s="73"/>
      <c r="B86" s="48" t="s">
        <v>130</v>
      </c>
      <c r="C86" s="50" t="s">
        <v>131</v>
      </c>
      <c r="D86" s="3" t="s">
        <v>9</v>
      </c>
      <c r="E86"/>
    </row>
    <row r="87" spans="1:5" ht="14.4" x14ac:dyDescent="0.3">
      <c r="A87" s="73"/>
      <c r="B87" s="48" t="s">
        <v>132</v>
      </c>
      <c r="C87" s="50" t="s">
        <v>133</v>
      </c>
      <c r="D87" s="3" t="s">
        <v>9</v>
      </c>
      <c r="E87"/>
    </row>
    <row r="88" spans="1:5" ht="14.4" x14ac:dyDescent="0.3">
      <c r="A88" s="73"/>
      <c r="B88" s="48" t="s">
        <v>134</v>
      </c>
      <c r="C88" s="50" t="s">
        <v>135</v>
      </c>
      <c r="D88" s="3" t="s">
        <v>9</v>
      </c>
      <c r="E88"/>
    </row>
    <row r="89" spans="1:5" ht="14.4" x14ac:dyDescent="0.3">
      <c r="A89" s="73"/>
      <c r="B89" s="48" t="s">
        <v>136</v>
      </c>
      <c r="C89" s="61" t="s">
        <v>137</v>
      </c>
      <c r="D89" s="3" t="s">
        <v>9</v>
      </c>
      <c r="E89"/>
    </row>
    <row r="90" spans="1:5" ht="14.4" x14ac:dyDescent="0.3"/>
    <row r="91" spans="1:5" ht="14.4" x14ac:dyDescent="0.3"/>
    <row r="92" spans="1:5" ht="14.4" x14ac:dyDescent="0.3">
      <c r="B92" s="10" t="s">
        <v>138</v>
      </c>
    </row>
    <row r="93" spans="1:5" ht="14.4" x14ac:dyDescent="0.3">
      <c r="A93" s="73"/>
      <c r="B93" s="46" t="s">
        <v>139</v>
      </c>
      <c r="C93" s="47" t="s">
        <v>140</v>
      </c>
      <c r="D93" s="52" t="s">
        <v>9</v>
      </c>
      <c r="E93" s="52"/>
    </row>
  </sheetData>
  <autoFilter ref="A4:A93" xr:uid="{9F5FFAFC-D0AD-4B39-A938-891DDEB0F24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BBA0-5B30-4691-BF44-9B947318C352}">
  <sheetPr codeName="Sheet2"/>
  <dimension ref="A1:F156"/>
  <sheetViews>
    <sheetView workbookViewId="0">
      <pane ySplit="4" topLeftCell="A56" activePane="bottomLeft" state="frozen"/>
      <selection pane="bottomLeft" activeCell="D128" sqref="D128"/>
    </sheetView>
  </sheetViews>
  <sheetFormatPr defaultColWidth="18" defaultRowHeight="14.4" x14ac:dyDescent="0.3"/>
  <cols>
    <col min="1" max="1" width="17.88671875" style="14" bestFit="1" customWidth="1"/>
    <col min="2" max="2" width="38.5546875" bestFit="1" customWidth="1"/>
    <col min="3" max="3" width="66.44140625" bestFit="1" customWidth="1"/>
    <col min="4" max="4" width="16.44140625" customWidth="1"/>
    <col min="6" max="6" width="4.6640625" style="14" customWidth="1"/>
    <col min="7" max="7" width="26.44140625" bestFit="1" customWidth="1"/>
  </cols>
  <sheetData>
    <row r="1" spans="1:5" ht="15" x14ac:dyDescent="0.3">
      <c r="A1" s="44" t="s">
        <v>0</v>
      </c>
      <c r="B1" s="45">
        <f>'Solar BOM'!B1</f>
        <v>0</v>
      </c>
      <c r="C1" s="19"/>
      <c r="D1" s="19"/>
      <c r="E1" s="10"/>
    </row>
    <row r="2" spans="1:5" ht="15" x14ac:dyDescent="0.3">
      <c r="A2" s="44" t="s">
        <v>1</v>
      </c>
      <c r="B2" s="45">
        <f>'Solar BOM'!B2</f>
        <v>0</v>
      </c>
      <c r="C2" s="19"/>
      <c r="D2" s="19"/>
      <c r="E2" s="10"/>
    </row>
    <row r="3" spans="1:5" ht="15" x14ac:dyDescent="0.3">
      <c r="A3" s="44" t="s">
        <v>2</v>
      </c>
      <c r="B3" s="45">
        <f>'Solar BOM'!B3</f>
        <v>0</v>
      </c>
      <c r="C3" s="19"/>
      <c r="D3" s="19"/>
      <c r="E3" s="10"/>
    </row>
    <row r="4" spans="1:5" ht="15" x14ac:dyDescent="0.3">
      <c r="A4" s="39" t="s">
        <v>141</v>
      </c>
      <c r="B4" s="22" t="s">
        <v>4</v>
      </c>
      <c r="C4" s="23" t="s">
        <v>5</v>
      </c>
      <c r="D4" s="24" t="s">
        <v>6</v>
      </c>
    </row>
    <row r="5" spans="1:5" ht="15" x14ac:dyDescent="0.3">
      <c r="A5" s="40"/>
      <c r="B5" s="25" t="s">
        <v>142</v>
      </c>
      <c r="C5" s="26" t="s">
        <v>143</v>
      </c>
      <c r="D5" s="21" t="s">
        <v>144</v>
      </c>
    </row>
    <row r="6" spans="1:5" ht="15" x14ac:dyDescent="0.3">
      <c r="A6" s="40"/>
      <c r="B6" s="25" t="s">
        <v>145</v>
      </c>
      <c r="C6" s="26" t="s">
        <v>146</v>
      </c>
      <c r="D6" s="21" t="s">
        <v>144</v>
      </c>
    </row>
    <row r="7" spans="1:5" ht="15" x14ac:dyDescent="0.3">
      <c r="A7" s="40"/>
      <c r="B7" s="25" t="s">
        <v>147</v>
      </c>
      <c r="C7" s="26" t="s">
        <v>148</v>
      </c>
      <c r="D7" s="21" t="s">
        <v>144</v>
      </c>
    </row>
    <row r="8" spans="1:5" ht="15" x14ac:dyDescent="0.3">
      <c r="A8" s="40"/>
      <c r="B8" s="25" t="s">
        <v>149</v>
      </c>
      <c r="C8" s="26" t="s">
        <v>150</v>
      </c>
      <c r="D8" s="21" t="s">
        <v>144</v>
      </c>
    </row>
    <row r="9" spans="1:5" ht="15" x14ac:dyDescent="0.3">
      <c r="A9" s="40"/>
      <c r="B9" s="25"/>
      <c r="C9" s="26"/>
      <c r="D9" s="21"/>
    </row>
    <row r="10" spans="1:5" ht="15" x14ac:dyDescent="0.3">
      <c r="A10" s="40"/>
      <c r="B10" s="25" t="s">
        <v>151</v>
      </c>
      <c r="C10" s="26" t="s">
        <v>152</v>
      </c>
      <c r="D10" s="21" t="s">
        <v>144</v>
      </c>
    </row>
    <row r="11" spans="1:5" ht="15" x14ac:dyDescent="0.3">
      <c r="A11" s="40"/>
      <c r="B11" s="25" t="s">
        <v>153</v>
      </c>
      <c r="C11" s="26" t="s">
        <v>154</v>
      </c>
      <c r="D11" s="21" t="s">
        <v>144</v>
      </c>
    </row>
    <row r="12" spans="1:5" ht="15" x14ac:dyDescent="0.3">
      <c r="A12" s="40"/>
      <c r="B12" s="25" t="s">
        <v>155</v>
      </c>
      <c r="C12" s="26" t="s">
        <v>156</v>
      </c>
      <c r="D12" s="21" t="s">
        <v>144</v>
      </c>
    </row>
    <row r="13" spans="1:5" ht="15" x14ac:dyDescent="0.3">
      <c r="A13" s="40"/>
      <c r="B13" s="25" t="s">
        <v>157</v>
      </c>
      <c r="C13" s="26" t="s">
        <v>158</v>
      </c>
      <c r="D13" s="21" t="s">
        <v>144</v>
      </c>
    </row>
    <row r="14" spans="1:5" ht="15" x14ac:dyDescent="0.3">
      <c r="A14" s="40"/>
      <c r="B14" s="25" t="s">
        <v>159</v>
      </c>
      <c r="C14" s="26" t="s">
        <v>160</v>
      </c>
      <c r="D14" s="21" t="s">
        <v>144</v>
      </c>
    </row>
    <row r="15" spans="1:5" ht="15" x14ac:dyDescent="0.3">
      <c r="A15" s="40"/>
      <c r="B15" s="25" t="s">
        <v>161</v>
      </c>
      <c r="C15" s="26" t="s">
        <v>162</v>
      </c>
      <c r="D15" s="21" t="s">
        <v>144</v>
      </c>
    </row>
    <row r="16" spans="1:5" ht="15" x14ac:dyDescent="0.3">
      <c r="A16" s="40"/>
      <c r="B16" s="21"/>
      <c r="C16" s="21"/>
      <c r="D16" s="21"/>
    </row>
    <row r="17" spans="1:4" ht="15" x14ac:dyDescent="0.3">
      <c r="A17" s="40"/>
      <c r="B17" s="25" t="s">
        <v>163</v>
      </c>
      <c r="C17" s="26" t="s">
        <v>164</v>
      </c>
      <c r="D17" s="21" t="s">
        <v>144</v>
      </c>
    </row>
    <row r="18" spans="1:4" ht="15" x14ac:dyDescent="0.3">
      <c r="A18" s="40"/>
      <c r="B18" s="25" t="s">
        <v>165</v>
      </c>
      <c r="C18" s="26" t="s">
        <v>166</v>
      </c>
      <c r="D18" s="21" t="s">
        <v>144</v>
      </c>
    </row>
    <row r="19" spans="1:4" ht="15" x14ac:dyDescent="0.3">
      <c r="A19" s="40"/>
      <c r="B19" s="19" t="s">
        <v>167</v>
      </c>
      <c r="C19" s="21" t="s">
        <v>168</v>
      </c>
      <c r="D19" s="21" t="s">
        <v>144</v>
      </c>
    </row>
    <row r="20" spans="1:4" ht="15" x14ac:dyDescent="0.3">
      <c r="A20" s="40"/>
      <c r="B20" s="27"/>
      <c r="C20" s="21"/>
      <c r="D20" s="21"/>
    </row>
    <row r="21" spans="1:4" ht="15" x14ac:dyDescent="0.3">
      <c r="A21" s="40"/>
      <c r="B21" s="25" t="s">
        <v>169</v>
      </c>
      <c r="C21" s="26" t="s">
        <v>170</v>
      </c>
      <c r="D21" s="21" t="s">
        <v>144</v>
      </c>
    </row>
    <row r="22" spans="1:4" ht="15" x14ac:dyDescent="0.3">
      <c r="A22" s="40"/>
      <c r="B22" s="8" t="s">
        <v>171</v>
      </c>
      <c r="C22" s="26" t="s">
        <v>172</v>
      </c>
      <c r="D22" s="21" t="s">
        <v>144</v>
      </c>
    </row>
    <row r="23" spans="1:4" ht="15" x14ac:dyDescent="0.3">
      <c r="A23" s="40"/>
      <c r="B23" s="25" t="s">
        <v>173</v>
      </c>
      <c r="C23" s="26" t="s">
        <v>174</v>
      </c>
      <c r="D23" s="21" t="s">
        <v>144</v>
      </c>
    </row>
    <row r="24" spans="1:4" ht="15" x14ac:dyDescent="0.3">
      <c r="A24" s="40"/>
      <c r="B24" s="25" t="s">
        <v>175</v>
      </c>
      <c r="C24" s="26" t="s">
        <v>176</v>
      </c>
      <c r="D24" s="21" t="s">
        <v>144</v>
      </c>
    </row>
    <row r="25" spans="1:4" ht="15" x14ac:dyDescent="0.3">
      <c r="A25" s="40"/>
      <c r="B25" s="21"/>
      <c r="C25" s="21"/>
      <c r="D25" s="21"/>
    </row>
    <row r="26" spans="1:4" ht="15" x14ac:dyDescent="0.3">
      <c r="A26" s="40"/>
      <c r="B26" s="25" t="s">
        <v>177</v>
      </c>
      <c r="C26" s="26" t="s">
        <v>178</v>
      </c>
      <c r="D26" s="21" t="s">
        <v>144</v>
      </c>
    </row>
    <row r="27" spans="1:4" ht="15" x14ac:dyDescent="0.3">
      <c r="A27" s="40"/>
      <c r="B27" s="25" t="s">
        <v>179</v>
      </c>
      <c r="C27" s="26" t="s">
        <v>180</v>
      </c>
      <c r="D27" s="21" t="s">
        <v>144</v>
      </c>
    </row>
    <row r="28" spans="1:4" ht="15" x14ac:dyDescent="0.3">
      <c r="A28" s="40"/>
      <c r="B28" s="25" t="s">
        <v>181</v>
      </c>
      <c r="C28" s="26" t="s">
        <v>182</v>
      </c>
      <c r="D28" s="21" t="s">
        <v>144</v>
      </c>
    </row>
    <row r="29" spans="1:4" ht="15" x14ac:dyDescent="0.3">
      <c r="A29" s="40"/>
      <c r="B29" s="21"/>
      <c r="C29" s="21"/>
      <c r="D29" s="21"/>
    </row>
    <row r="30" spans="1:4" ht="15" x14ac:dyDescent="0.3">
      <c r="A30" s="40"/>
      <c r="B30" s="25" t="s">
        <v>183</v>
      </c>
      <c r="C30" s="25" t="s">
        <v>183</v>
      </c>
      <c r="D30" s="21" t="s">
        <v>144</v>
      </c>
    </row>
    <row r="31" spans="1:4" ht="15" x14ac:dyDescent="0.3">
      <c r="A31" s="40"/>
      <c r="B31" s="25" t="s">
        <v>184</v>
      </c>
      <c r="C31" s="25" t="s">
        <v>184</v>
      </c>
      <c r="D31" s="21" t="s">
        <v>144</v>
      </c>
    </row>
    <row r="32" spans="1:4" ht="15" x14ac:dyDescent="0.3">
      <c r="A32" s="40"/>
      <c r="B32" s="21"/>
      <c r="C32" s="21"/>
      <c r="D32" s="21"/>
    </row>
    <row r="33" spans="1:6" ht="15" x14ac:dyDescent="0.3">
      <c r="A33" s="40"/>
      <c r="B33" s="8" t="s">
        <v>185</v>
      </c>
      <c r="C33" s="26" t="s">
        <v>186</v>
      </c>
      <c r="D33" s="21" t="s">
        <v>144</v>
      </c>
    </row>
    <row r="34" spans="1:6" ht="15" x14ac:dyDescent="0.3">
      <c r="A34" s="40"/>
      <c r="B34" s="8" t="s">
        <v>187</v>
      </c>
      <c r="C34" s="26" t="s">
        <v>188</v>
      </c>
      <c r="D34" s="21" t="s">
        <v>144</v>
      </c>
    </row>
    <row r="35" spans="1:6" ht="15" x14ac:dyDescent="0.3">
      <c r="A35" s="40"/>
      <c r="B35" s="25" t="s">
        <v>189</v>
      </c>
      <c r="C35" s="26" t="s">
        <v>190</v>
      </c>
      <c r="D35" s="21" t="s">
        <v>144</v>
      </c>
    </row>
    <row r="36" spans="1:6" ht="15" x14ac:dyDescent="0.3">
      <c r="A36" s="40"/>
      <c r="B36" s="25" t="s">
        <v>191</v>
      </c>
      <c r="C36" s="26" t="s">
        <v>192</v>
      </c>
      <c r="D36" s="21" t="s">
        <v>144</v>
      </c>
    </row>
    <row r="37" spans="1:6" ht="15" x14ac:dyDescent="0.3">
      <c r="A37" s="40"/>
      <c r="B37" s="25"/>
      <c r="C37" s="26"/>
      <c r="D37" s="21"/>
    </row>
    <row r="38" spans="1:6" ht="15" x14ac:dyDescent="0.3">
      <c r="A38" s="41"/>
      <c r="B38" s="29" t="s">
        <v>193</v>
      </c>
      <c r="C38" s="30" t="s">
        <v>194</v>
      </c>
      <c r="D38" s="28" t="s">
        <v>144</v>
      </c>
    </row>
    <row r="39" spans="1:6" ht="15" x14ac:dyDescent="0.3">
      <c r="A39" s="42"/>
      <c r="B39" s="31" t="s">
        <v>195</v>
      </c>
      <c r="C39" s="32" t="s">
        <v>196</v>
      </c>
      <c r="D39" s="20" t="s">
        <v>144</v>
      </c>
      <c r="F39"/>
    </row>
    <row r="40" spans="1:6" ht="15" x14ac:dyDescent="0.3">
      <c r="A40" s="42"/>
      <c r="B40" s="31" t="s">
        <v>197</v>
      </c>
      <c r="C40" s="32" t="s">
        <v>198</v>
      </c>
      <c r="D40" s="20" t="s">
        <v>144</v>
      </c>
      <c r="F40"/>
    </row>
    <row r="41" spans="1:6" ht="15" x14ac:dyDescent="0.3">
      <c r="A41" s="42"/>
      <c r="B41" s="31" t="s">
        <v>199</v>
      </c>
      <c r="C41" s="32" t="s">
        <v>200</v>
      </c>
      <c r="D41" s="20" t="s">
        <v>144</v>
      </c>
      <c r="F41"/>
    </row>
    <row r="42" spans="1:6" ht="15" x14ac:dyDescent="0.3">
      <c r="A42" s="42"/>
      <c r="B42" s="31"/>
      <c r="C42" s="32"/>
      <c r="D42" s="20"/>
      <c r="F42"/>
    </row>
    <row r="43" spans="1:6" ht="15" x14ac:dyDescent="0.3">
      <c r="A43" s="42"/>
      <c r="B43" s="32" t="s">
        <v>201</v>
      </c>
      <c r="C43" s="31" t="s">
        <v>202</v>
      </c>
      <c r="D43" s="20" t="s">
        <v>144</v>
      </c>
      <c r="F43"/>
    </row>
    <row r="44" spans="1:6" ht="15" x14ac:dyDescent="0.3">
      <c r="A44" s="42"/>
      <c r="B44" s="20" t="s">
        <v>203</v>
      </c>
      <c r="C44" s="32" t="s">
        <v>204</v>
      </c>
      <c r="D44" s="20" t="s">
        <v>144</v>
      </c>
      <c r="F44"/>
    </row>
    <row r="45" spans="1:6" ht="15" x14ac:dyDescent="0.3">
      <c r="A45" s="42"/>
      <c r="B45" s="20" t="s">
        <v>205</v>
      </c>
      <c r="C45" s="32" t="s">
        <v>206</v>
      </c>
      <c r="D45" s="20" t="s">
        <v>144</v>
      </c>
      <c r="F45"/>
    </row>
    <row r="46" spans="1:6" ht="15" x14ac:dyDescent="0.3">
      <c r="A46" s="42"/>
      <c r="B46" s="20"/>
      <c r="C46" s="32"/>
      <c r="D46" s="20"/>
      <c r="F46"/>
    </row>
    <row r="47" spans="1:6" ht="15" x14ac:dyDescent="0.3">
      <c r="A47" s="42"/>
      <c r="B47" s="31" t="s">
        <v>207</v>
      </c>
      <c r="C47" s="32" t="s">
        <v>208</v>
      </c>
      <c r="D47" s="20" t="s">
        <v>144</v>
      </c>
      <c r="F47"/>
    </row>
    <row r="48" spans="1:6" ht="15" x14ac:dyDescent="0.3">
      <c r="A48" s="42"/>
      <c r="B48" s="31" t="s">
        <v>209</v>
      </c>
      <c r="C48" s="32" t="s">
        <v>210</v>
      </c>
      <c r="D48" s="20" t="s">
        <v>144</v>
      </c>
      <c r="F48"/>
    </row>
    <row r="49" spans="1:6" ht="15" x14ac:dyDescent="0.3">
      <c r="A49" s="42"/>
      <c r="B49" s="31" t="s">
        <v>211</v>
      </c>
      <c r="C49" s="32" t="s">
        <v>212</v>
      </c>
      <c r="D49" s="20" t="s">
        <v>144</v>
      </c>
      <c r="F49"/>
    </row>
    <row r="50" spans="1:6" ht="15" x14ac:dyDescent="0.3">
      <c r="A50" s="42"/>
      <c r="B50" s="38"/>
      <c r="C50" s="20"/>
      <c r="D50" s="20"/>
    </row>
    <row r="51" spans="1:6" ht="15" x14ac:dyDescent="0.3">
      <c r="A51" s="43"/>
      <c r="B51" s="34" t="s">
        <v>456</v>
      </c>
      <c r="C51" s="35" t="s">
        <v>457</v>
      </c>
      <c r="D51" s="33" t="s">
        <v>144</v>
      </c>
    </row>
    <row r="52" spans="1:6" ht="15" x14ac:dyDescent="0.3">
      <c r="A52" s="43"/>
      <c r="B52" s="34" t="s">
        <v>213</v>
      </c>
      <c r="C52" s="35" t="s">
        <v>214</v>
      </c>
      <c r="D52" s="33" t="s">
        <v>144</v>
      </c>
    </row>
    <row r="53" spans="1:6" ht="15" x14ac:dyDescent="0.3">
      <c r="A53" s="40"/>
      <c r="B53" s="25" t="s">
        <v>215</v>
      </c>
      <c r="C53" s="26" t="s">
        <v>216</v>
      </c>
      <c r="D53" s="21" t="s">
        <v>144</v>
      </c>
    </row>
    <row r="54" spans="1:6" ht="15" x14ac:dyDescent="0.3">
      <c r="A54" s="40"/>
      <c r="B54" s="25" t="s">
        <v>217</v>
      </c>
      <c r="C54" s="26" t="s">
        <v>218</v>
      </c>
      <c r="D54" s="21" t="s">
        <v>144</v>
      </c>
    </row>
    <row r="55" spans="1:6" ht="15" x14ac:dyDescent="0.3">
      <c r="A55" s="40"/>
      <c r="B55" s="25" t="s">
        <v>219</v>
      </c>
      <c r="C55" s="26" t="s">
        <v>220</v>
      </c>
      <c r="D55" s="21" t="s">
        <v>144</v>
      </c>
    </row>
    <row r="56" spans="1:6" ht="15" x14ac:dyDescent="0.3">
      <c r="A56" s="40"/>
      <c r="B56" s="25" t="s">
        <v>221</v>
      </c>
      <c r="C56" s="26" t="s">
        <v>222</v>
      </c>
      <c r="D56" s="21" t="s">
        <v>144</v>
      </c>
    </row>
    <row r="57" spans="1:6" ht="15" x14ac:dyDescent="0.3">
      <c r="A57" s="40"/>
      <c r="B57" s="25" t="s">
        <v>223</v>
      </c>
      <c r="C57" s="36" t="s">
        <v>224</v>
      </c>
      <c r="D57" s="21" t="s">
        <v>144</v>
      </c>
    </row>
    <row r="58" spans="1:6" ht="15" x14ac:dyDescent="0.3">
      <c r="A58" s="40"/>
      <c r="B58" s="21"/>
      <c r="C58" s="21"/>
      <c r="D58" s="21"/>
    </row>
    <row r="59" spans="1:6" ht="15" x14ac:dyDescent="0.3">
      <c r="A59" s="40"/>
      <c r="B59" s="25" t="s">
        <v>225</v>
      </c>
      <c r="C59" s="26" t="s">
        <v>226</v>
      </c>
      <c r="D59" s="21" t="s">
        <v>144</v>
      </c>
    </row>
    <row r="60" spans="1:6" ht="15" x14ac:dyDescent="0.3">
      <c r="A60" s="40"/>
      <c r="B60" s="25" t="s">
        <v>227</v>
      </c>
      <c r="C60" s="26" t="s">
        <v>228</v>
      </c>
      <c r="D60" s="21" t="s">
        <v>144</v>
      </c>
    </row>
    <row r="61" spans="1:6" ht="15" x14ac:dyDescent="0.3">
      <c r="A61" s="40"/>
      <c r="B61" s="8" t="s">
        <v>229</v>
      </c>
      <c r="C61" s="26" t="s">
        <v>230</v>
      </c>
      <c r="D61" s="21" t="s">
        <v>144</v>
      </c>
    </row>
    <row r="62" spans="1:6" ht="15" x14ac:dyDescent="0.3">
      <c r="A62" s="40"/>
      <c r="B62" s="8" t="s">
        <v>231</v>
      </c>
      <c r="C62" s="26" t="s">
        <v>232</v>
      </c>
      <c r="D62" s="21" t="s">
        <v>144</v>
      </c>
    </row>
    <row r="63" spans="1:6" ht="15" x14ac:dyDescent="0.3">
      <c r="A63" s="40"/>
      <c r="B63" s="8" t="s">
        <v>233</v>
      </c>
      <c r="C63" s="26" t="s">
        <v>234</v>
      </c>
      <c r="D63" s="21" t="s">
        <v>144</v>
      </c>
    </row>
    <row r="64" spans="1:6" ht="15" x14ac:dyDescent="0.3">
      <c r="A64" s="40"/>
      <c r="B64" s="8" t="s">
        <v>235</v>
      </c>
      <c r="C64" s="26" t="s">
        <v>236</v>
      </c>
      <c r="D64" s="21" t="s">
        <v>144</v>
      </c>
    </row>
    <row r="65" spans="1:4" ht="15" x14ac:dyDescent="0.3">
      <c r="A65" s="40"/>
      <c r="B65" s="8" t="s">
        <v>459</v>
      </c>
      <c r="C65" s="26" t="s">
        <v>237</v>
      </c>
      <c r="D65" s="21" t="s">
        <v>144</v>
      </c>
    </row>
    <row r="66" spans="1:4" ht="15" x14ac:dyDescent="0.3">
      <c r="A66" s="40"/>
      <c r="B66" s="21"/>
      <c r="C66" s="21"/>
      <c r="D66" s="21"/>
    </row>
    <row r="67" spans="1:4" ht="15" x14ac:dyDescent="0.3">
      <c r="A67" s="40"/>
      <c r="B67" s="25" t="s">
        <v>238</v>
      </c>
      <c r="C67" s="36" t="s">
        <v>239</v>
      </c>
      <c r="D67" s="21" t="s">
        <v>144</v>
      </c>
    </row>
    <row r="68" spans="1:4" ht="15" x14ac:dyDescent="0.3">
      <c r="A68" s="40"/>
      <c r="B68" s="25" t="s">
        <v>240</v>
      </c>
      <c r="C68" s="36" t="s">
        <v>241</v>
      </c>
      <c r="D68" s="21" t="s">
        <v>144</v>
      </c>
    </row>
    <row r="69" spans="1:4" ht="15" x14ac:dyDescent="0.3">
      <c r="A69" s="40"/>
      <c r="B69" s="25" t="s">
        <v>242</v>
      </c>
      <c r="C69" s="37" t="s">
        <v>243</v>
      </c>
      <c r="D69" s="21" t="s">
        <v>144</v>
      </c>
    </row>
    <row r="70" spans="1:4" ht="15" x14ac:dyDescent="0.3">
      <c r="A70" s="40"/>
      <c r="B70" s="21"/>
      <c r="C70" s="21"/>
      <c r="D70" s="21"/>
    </row>
    <row r="71" spans="1:4" ht="15" x14ac:dyDescent="0.3">
      <c r="A71" s="40"/>
      <c r="B71" s="25" t="s">
        <v>244</v>
      </c>
      <c r="C71" s="26" t="s">
        <v>245</v>
      </c>
      <c r="D71" s="21" t="s">
        <v>144</v>
      </c>
    </row>
    <row r="72" spans="1:4" ht="15" x14ac:dyDescent="0.3">
      <c r="A72" s="40"/>
      <c r="B72" s="25" t="s">
        <v>246</v>
      </c>
      <c r="C72" s="26" t="s">
        <v>247</v>
      </c>
      <c r="D72" s="21" t="s">
        <v>144</v>
      </c>
    </row>
    <row r="73" spans="1:4" ht="15" x14ac:dyDescent="0.3">
      <c r="A73" s="40"/>
      <c r="B73" s="25" t="s">
        <v>248</v>
      </c>
      <c r="C73" s="26" t="s">
        <v>247</v>
      </c>
      <c r="D73" s="21" t="s">
        <v>144</v>
      </c>
    </row>
    <row r="74" spans="1:4" ht="15" x14ac:dyDescent="0.3">
      <c r="A74" s="40"/>
      <c r="B74" s="8" t="s">
        <v>249</v>
      </c>
      <c r="C74" s="26" t="s">
        <v>250</v>
      </c>
      <c r="D74" s="21" t="s">
        <v>144</v>
      </c>
    </row>
    <row r="75" spans="1:4" ht="15" x14ac:dyDescent="0.3">
      <c r="A75" s="40"/>
      <c r="B75" s="25" t="s">
        <v>251</v>
      </c>
      <c r="C75" s="26" t="s">
        <v>252</v>
      </c>
      <c r="D75" s="21" t="s">
        <v>144</v>
      </c>
    </row>
    <row r="76" spans="1:4" ht="15" x14ac:dyDescent="0.3">
      <c r="A76" s="40"/>
      <c r="B76" s="25" t="s">
        <v>253</v>
      </c>
      <c r="C76" s="26" t="s">
        <v>254</v>
      </c>
      <c r="D76" s="21" t="s">
        <v>144</v>
      </c>
    </row>
    <row r="77" spans="1:4" ht="15" x14ac:dyDescent="0.3">
      <c r="A77" s="40"/>
      <c r="B77" s="8" t="s">
        <v>255</v>
      </c>
      <c r="C77" s="26" t="s">
        <v>256</v>
      </c>
      <c r="D77" s="21" t="s">
        <v>144</v>
      </c>
    </row>
    <row r="78" spans="1:4" ht="15" x14ac:dyDescent="0.3">
      <c r="A78" s="40"/>
      <c r="B78" s="25" t="s">
        <v>257</v>
      </c>
      <c r="C78" s="26" t="s">
        <v>258</v>
      </c>
      <c r="D78" s="21" t="s">
        <v>144</v>
      </c>
    </row>
    <row r="79" spans="1:4" ht="15" x14ac:dyDescent="0.3">
      <c r="A79" s="40"/>
      <c r="B79" s="25" t="s">
        <v>455</v>
      </c>
      <c r="C79" s="26"/>
      <c r="D79" s="21" t="s">
        <v>144</v>
      </c>
    </row>
    <row r="80" spans="1:4" ht="15" x14ac:dyDescent="0.3">
      <c r="A80" s="40"/>
      <c r="B80" s="21"/>
      <c r="C80" s="21"/>
      <c r="D80" s="21"/>
    </row>
    <row r="81" spans="1:4" ht="15" x14ac:dyDescent="0.3">
      <c r="A81" s="40"/>
      <c r="B81" s="25" t="s">
        <v>259</v>
      </c>
      <c r="C81" s="26" t="s">
        <v>260</v>
      </c>
      <c r="D81" s="21" t="s">
        <v>144</v>
      </c>
    </row>
    <row r="82" spans="1:4" ht="15" x14ac:dyDescent="0.3">
      <c r="A82" s="40"/>
      <c r="B82" s="25" t="s">
        <v>261</v>
      </c>
      <c r="C82" s="26" t="s">
        <v>262</v>
      </c>
      <c r="D82" s="21" t="s">
        <v>144</v>
      </c>
    </row>
    <row r="83" spans="1:4" ht="15" x14ac:dyDescent="0.3">
      <c r="A83" s="40"/>
      <c r="B83" s="8" t="s">
        <v>263</v>
      </c>
      <c r="C83" s="26" t="s">
        <v>264</v>
      </c>
      <c r="D83" s="21" t="s">
        <v>144</v>
      </c>
    </row>
    <row r="84" spans="1:4" ht="15" x14ac:dyDescent="0.3">
      <c r="A84" s="40"/>
      <c r="B84" s="19" t="s">
        <v>265</v>
      </c>
      <c r="C84" s="26" t="s">
        <v>266</v>
      </c>
      <c r="D84" s="21"/>
    </row>
    <row r="85" spans="1:4" ht="15" x14ac:dyDescent="0.3">
      <c r="A85" s="40"/>
      <c r="B85" s="25" t="s">
        <v>267</v>
      </c>
      <c r="C85" s="26" t="s">
        <v>268</v>
      </c>
      <c r="D85" s="21"/>
    </row>
    <row r="86" spans="1:4" ht="15" x14ac:dyDescent="0.3">
      <c r="A86" s="40"/>
      <c r="B86" s="21"/>
      <c r="C86" s="21"/>
      <c r="D86" s="21"/>
    </row>
    <row r="87" spans="1:4" ht="15" x14ac:dyDescent="0.3">
      <c r="A87" s="40"/>
      <c r="B87" s="21" t="s">
        <v>269</v>
      </c>
      <c r="C87" s="21" t="s">
        <v>270</v>
      </c>
      <c r="D87" s="21" t="s">
        <v>144</v>
      </c>
    </row>
    <row r="88" spans="1:4" ht="15" x14ac:dyDescent="0.3">
      <c r="A88" s="40"/>
      <c r="B88" s="21"/>
      <c r="C88" s="21"/>
      <c r="D88" s="21"/>
    </row>
    <row r="89" spans="1:4" ht="15" x14ac:dyDescent="0.3">
      <c r="A89" s="40"/>
      <c r="B89" s="25" t="s">
        <v>271</v>
      </c>
      <c r="C89" s="26" t="s">
        <v>272</v>
      </c>
      <c r="D89" s="21" t="s">
        <v>144</v>
      </c>
    </row>
    <row r="90" spans="1:4" ht="15" x14ac:dyDescent="0.3">
      <c r="A90" s="40"/>
      <c r="B90" s="25" t="s">
        <v>273</v>
      </c>
      <c r="C90" s="26" t="s">
        <v>274</v>
      </c>
      <c r="D90" s="21" t="s">
        <v>144</v>
      </c>
    </row>
    <row r="91" spans="1:4" ht="15" x14ac:dyDescent="0.3">
      <c r="A91" s="40"/>
      <c r="B91" s="25" t="s">
        <v>275</v>
      </c>
      <c r="C91" s="26" t="s">
        <v>276</v>
      </c>
      <c r="D91" s="21" t="s">
        <v>144</v>
      </c>
    </row>
    <row r="92" spans="1:4" ht="15" x14ac:dyDescent="0.3">
      <c r="A92" s="40"/>
      <c r="B92" s="25" t="s">
        <v>277</v>
      </c>
      <c r="C92" s="26" t="s">
        <v>276</v>
      </c>
      <c r="D92" s="21" t="s">
        <v>144</v>
      </c>
    </row>
    <row r="93" spans="1:4" ht="15" x14ac:dyDescent="0.3">
      <c r="A93" s="40"/>
      <c r="B93" s="25" t="s">
        <v>278</v>
      </c>
      <c r="C93" s="26" t="s">
        <v>279</v>
      </c>
      <c r="D93" s="21" t="s">
        <v>144</v>
      </c>
    </row>
    <row r="94" spans="1:4" ht="15" x14ac:dyDescent="0.3">
      <c r="A94" s="40"/>
      <c r="B94" s="25" t="s">
        <v>280</v>
      </c>
      <c r="C94" s="26" t="s">
        <v>279</v>
      </c>
      <c r="D94" s="21" t="s">
        <v>144</v>
      </c>
    </row>
    <row r="95" spans="1:4" ht="15" x14ac:dyDescent="0.3">
      <c r="A95" s="40"/>
      <c r="B95" s="21"/>
      <c r="C95" s="21"/>
      <c r="D95" s="21"/>
    </row>
    <row r="96" spans="1:4" ht="15" x14ac:dyDescent="0.3">
      <c r="A96" s="40"/>
      <c r="B96" s="25" t="s">
        <v>281</v>
      </c>
      <c r="C96" s="26" t="s">
        <v>282</v>
      </c>
      <c r="D96" s="21" t="s">
        <v>144</v>
      </c>
    </row>
    <row r="97" spans="1:4" ht="15" x14ac:dyDescent="0.3">
      <c r="A97" s="40"/>
      <c r="B97" s="21"/>
      <c r="C97" s="21"/>
      <c r="D97" s="21"/>
    </row>
    <row r="98" spans="1:4" ht="15" x14ac:dyDescent="0.3">
      <c r="A98" s="40"/>
      <c r="B98" s="25" t="s">
        <v>283</v>
      </c>
      <c r="C98" s="26" t="s">
        <v>284</v>
      </c>
      <c r="D98" s="21" t="s">
        <v>144</v>
      </c>
    </row>
    <row r="99" spans="1:4" ht="15" x14ac:dyDescent="0.3">
      <c r="A99" s="40"/>
      <c r="B99" s="25" t="s">
        <v>285</v>
      </c>
      <c r="C99" s="26" t="s">
        <v>286</v>
      </c>
      <c r="D99" s="21" t="s">
        <v>144</v>
      </c>
    </row>
    <row r="100" spans="1:4" ht="15" x14ac:dyDescent="0.3">
      <c r="A100" s="40"/>
      <c r="B100" s="25" t="s">
        <v>287</v>
      </c>
      <c r="C100" s="26" t="s">
        <v>288</v>
      </c>
      <c r="D100" s="21" t="s">
        <v>144</v>
      </c>
    </row>
    <row r="101" spans="1:4" ht="15" x14ac:dyDescent="0.3">
      <c r="A101" s="40"/>
      <c r="B101" s="25" t="s">
        <v>289</v>
      </c>
      <c r="C101" s="26" t="s">
        <v>290</v>
      </c>
      <c r="D101" s="21" t="s">
        <v>144</v>
      </c>
    </row>
    <row r="102" spans="1:4" ht="15" x14ac:dyDescent="0.3">
      <c r="A102" s="40"/>
      <c r="B102" s="25" t="s">
        <v>291</v>
      </c>
      <c r="C102" s="26" t="s">
        <v>292</v>
      </c>
      <c r="D102" s="21" t="s">
        <v>144</v>
      </c>
    </row>
    <row r="103" spans="1:4" ht="15" x14ac:dyDescent="0.3">
      <c r="A103" s="40"/>
      <c r="B103" s="25" t="s">
        <v>293</v>
      </c>
      <c r="C103" s="26" t="s">
        <v>294</v>
      </c>
      <c r="D103" s="21" t="s">
        <v>144</v>
      </c>
    </row>
    <row r="104" spans="1:4" ht="15" x14ac:dyDescent="0.3">
      <c r="A104" s="40"/>
      <c r="B104" s="25" t="s">
        <v>295</v>
      </c>
      <c r="C104" s="26" t="s">
        <v>296</v>
      </c>
      <c r="D104" s="21" t="s">
        <v>144</v>
      </c>
    </row>
    <row r="105" spans="1:4" ht="15" x14ac:dyDescent="0.3">
      <c r="A105" s="40"/>
      <c r="B105" s="25" t="s">
        <v>297</v>
      </c>
      <c r="C105" s="26" t="s">
        <v>298</v>
      </c>
      <c r="D105" s="21" t="s">
        <v>144</v>
      </c>
    </row>
    <row r="106" spans="1:4" ht="15" x14ac:dyDescent="0.3">
      <c r="A106" s="40"/>
      <c r="B106" s="25" t="s">
        <v>299</v>
      </c>
      <c r="C106" s="26" t="s">
        <v>300</v>
      </c>
      <c r="D106" s="21" t="s">
        <v>144</v>
      </c>
    </row>
    <row r="107" spans="1:4" ht="15" x14ac:dyDescent="0.3">
      <c r="A107" s="40"/>
      <c r="B107" s="25" t="s">
        <v>301</v>
      </c>
      <c r="C107" s="26" t="s">
        <v>302</v>
      </c>
      <c r="D107" s="21" t="s">
        <v>144</v>
      </c>
    </row>
    <row r="108" spans="1:4" ht="15" x14ac:dyDescent="0.3">
      <c r="A108" s="40"/>
      <c r="B108" s="25" t="s">
        <v>303</v>
      </c>
      <c r="C108" s="26" t="s">
        <v>304</v>
      </c>
      <c r="D108" s="21" t="s">
        <v>144</v>
      </c>
    </row>
    <row r="109" spans="1:4" ht="15" x14ac:dyDescent="0.3">
      <c r="A109" s="40"/>
      <c r="B109" s="25" t="s">
        <v>305</v>
      </c>
      <c r="C109" s="26" t="s">
        <v>306</v>
      </c>
      <c r="D109" s="21" t="s">
        <v>144</v>
      </c>
    </row>
    <row r="110" spans="1:4" ht="15" x14ac:dyDescent="0.3">
      <c r="A110" s="40"/>
      <c r="B110" s="25" t="s">
        <v>307</v>
      </c>
      <c r="C110" s="26" t="s">
        <v>308</v>
      </c>
      <c r="D110" s="21" t="s">
        <v>144</v>
      </c>
    </row>
    <row r="111" spans="1:4" ht="15" x14ac:dyDescent="0.3">
      <c r="A111" s="40"/>
      <c r="B111" s="8" t="s">
        <v>309</v>
      </c>
      <c r="C111" s="26" t="s">
        <v>310</v>
      </c>
      <c r="D111" s="21" t="s">
        <v>144</v>
      </c>
    </row>
    <row r="112" spans="1:4" ht="15" x14ac:dyDescent="0.3">
      <c r="A112" s="40"/>
      <c r="B112" s="25" t="s">
        <v>311</v>
      </c>
      <c r="C112" s="26" t="s">
        <v>312</v>
      </c>
      <c r="D112" s="21" t="s">
        <v>144</v>
      </c>
    </row>
    <row r="113" spans="1:4" ht="15" x14ac:dyDescent="0.3">
      <c r="A113" s="40"/>
      <c r="B113" s="25" t="s">
        <v>313</v>
      </c>
      <c r="C113" s="26" t="s">
        <v>314</v>
      </c>
      <c r="D113" s="21" t="s">
        <v>144</v>
      </c>
    </row>
    <row r="114" spans="1:4" ht="15" x14ac:dyDescent="0.3">
      <c r="A114" s="40"/>
      <c r="B114" s="25" t="s">
        <v>315</v>
      </c>
      <c r="C114" s="26" t="s">
        <v>316</v>
      </c>
      <c r="D114" s="21" t="s">
        <v>144</v>
      </c>
    </row>
    <row r="115" spans="1:4" ht="15" x14ac:dyDescent="0.3">
      <c r="A115" s="40"/>
      <c r="B115" s="21"/>
      <c r="C115" s="21"/>
      <c r="D115" s="21"/>
    </row>
    <row r="116" spans="1:4" ht="15" x14ac:dyDescent="0.3">
      <c r="A116" s="40"/>
      <c r="B116" s="25" t="s">
        <v>317</v>
      </c>
      <c r="C116" s="26" t="s">
        <v>318</v>
      </c>
      <c r="D116" s="21" t="s">
        <v>144</v>
      </c>
    </row>
    <row r="117" spans="1:4" ht="15" x14ac:dyDescent="0.3">
      <c r="A117" s="40"/>
      <c r="B117" s="25" t="s">
        <v>319</v>
      </c>
      <c r="C117" s="26" t="s">
        <v>320</v>
      </c>
      <c r="D117" s="21" t="s">
        <v>144</v>
      </c>
    </row>
    <row r="118" spans="1:4" ht="15" x14ac:dyDescent="0.3">
      <c r="A118" s="40"/>
      <c r="B118" s="25" t="s">
        <v>321</v>
      </c>
      <c r="C118" s="26" t="s">
        <v>322</v>
      </c>
      <c r="D118" s="21" t="s">
        <v>144</v>
      </c>
    </row>
    <row r="119" spans="1:4" ht="15" x14ac:dyDescent="0.3">
      <c r="A119" s="40"/>
      <c r="B119" s="25" t="s">
        <v>323</v>
      </c>
      <c r="C119" s="26" t="s">
        <v>324</v>
      </c>
      <c r="D119" s="21" t="s">
        <v>144</v>
      </c>
    </row>
    <row r="120" spans="1:4" ht="15" x14ac:dyDescent="0.3">
      <c r="A120" s="40"/>
      <c r="B120" s="25" t="s">
        <v>325</v>
      </c>
      <c r="C120" s="26" t="s">
        <v>326</v>
      </c>
      <c r="D120" s="21" t="s">
        <v>144</v>
      </c>
    </row>
    <row r="121" spans="1:4" ht="15" x14ac:dyDescent="0.3">
      <c r="A121" s="40"/>
      <c r="B121" s="25" t="s">
        <v>327</v>
      </c>
      <c r="C121" s="26" t="s">
        <v>328</v>
      </c>
      <c r="D121" s="21" t="s">
        <v>144</v>
      </c>
    </row>
    <row r="122" spans="1:4" ht="15" x14ac:dyDescent="0.3">
      <c r="A122" s="40"/>
      <c r="B122" s="25" t="s">
        <v>329</v>
      </c>
      <c r="C122" s="26" t="s">
        <v>330</v>
      </c>
      <c r="D122" s="21" t="s">
        <v>144</v>
      </c>
    </row>
    <row r="123" spans="1:4" ht="15" x14ac:dyDescent="0.3">
      <c r="A123" s="40"/>
      <c r="B123" s="25" t="s">
        <v>331</v>
      </c>
      <c r="C123" s="26" t="s">
        <v>332</v>
      </c>
      <c r="D123" s="21" t="s">
        <v>144</v>
      </c>
    </row>
    <row r="124" spans="1:4" ht="15" x14ac:dyDescent="0.3">
      <c r="A124" s="40"/>
      <c r="B124" s="25" t="s">
        <v>333</v>
      </c>
      <c r="C124" s="26" t="s">
        <v>334</v>
      </c>
      <c r="D124" s="21" t="s">
        <v>144</v>
      </c>
    </row>
    <row r="125" spans="1:4" ht="15" x14ac:dyDescent="0.3">
      <c r="A125" s="40"/>
      <c r="B125" s="25" t="s">
        <v>335</v>
      </c>
      <c r="C125" s="26" t="s">
        <v>336</v>
      </c>
      <c r="D125" s="21" t="s">
        <v>144</v>
      </c>
    </row>
    <row r="126" spans="1:4" ht="15" x14ac:dyDescent="0.3">
      <c r="A126" s="40"/>
      <c r="B126" s="25" t="s">
        <v>337</v>
      </c>
      <c r="C126" s="26" t="s">
        <v>338</v>
      </c>
      <c r="D126" s="21" t="s">
        <v>144</v>
      </c>
    </row>
    <row r="127" spans="1:4" ht="15" x14ac:dyDescent="0.3">
      <c r="A127" s="40"/>
      <c r="B127" s="25" t="s">
        <v>339</v>
      </c>
      <c r="C127" s="26" t="s">
        <v>340</v>
      </c>
      <c r="D127" s="21" t="s">
        <v>144</v>
      </c>
    </row>
    <row r="128" spans="1:4" ht="15" x14ac:dyDescent="0.3">
      <c r="A128" s="40"/>
      <c r="B128" s="21" t="s">
        <v>462</v>
      </c>
      <c r="C128" s="21" t="s">
        <v>463</v>
      </c>
      <c r="D128" s="21" t="s">
        <v>144</v>
      </c>
    </row>
    <row r="129" spans="1:4" ht="15" x14ac:dyDescent="0.3">
      <c r="A129" s="40"/>
      <c r="B129" s="25" t="s">
        <v>341</v>
      </c>
      <c r="C129" s="26" t="s">
        <v>342</v>
      </c>
      <c r="D129" s="21" t="s">
        <v>144</v>
      </c>
    </row>
    <row r="130" spans="1:4" ht="15" x14ac:dyDescent="0.3">
      <c r="A130" s="40"/>
      <c r="B130" s="25" t="s">
        <v>343</v>
      </c>
      <c r="C130" s="26" t="s">
        <v>344</v>
      </c>
      <c r="D130" s="21" t="s">
        <v>144</v>
      </c>
    </row>
    <row r="131" spans="1:4" ht="15" x14ac:dyDescent="0.3">
      <c r="A131" s="40"/>
      <c r="B131" s="25" t="s">
        <v>345</v>
      </c>
      <c r="C131" s="26" t="s">
        <v>346</v>
      </c>
      <c r="D131" s="21" t="s">
        <v>144</v>
      </c>
    </row>
    <row r="132" spans="1:4" ht="15" x14ac:dyDescent="0.3">
      <c r="A132" s="40"/>
      <c r="B132" s="25" t="s">
        <v>347</v>
      </c>
      <c r="C132" s="26" t="s">
        <v>348</v>
      </c>
      <c r="D132" s="21" t="s">
        <v>144</v>
      </c>
    </row>
    <row r="133" spans="1:4" ht="15" x14ac:dyDescent="0.3">
      <c r="A133" s="40"/>
      <c r="B133" s="25" t="s">
        <v>349</v>
      </c>
      <c r="C133" s="26" t="s">
        <v>350</v>
      </c>
      <c r="D133" s="21" t="s">
        <v>144</v>
      </c>
    </row>
    <row r="134" spans="1:4" ht="15" x14ac:dyDescent="0.3">
      <c r="A134" s="40"/>
      <c r="B134" s="25" t="s">
        <v>351</v>
      </c>
      <c r="C134" s="26" t="s">
        <v>352</v>
      </c>
      <c r="D134" s="21" t="s">
        <v>144</v>
      </c>
    </row>
    <row r="135" spans="1:4" ht="15" x14ac:dyDescent="0.3">
      <c r="A135" s="40"/>
      <c r="B135" s="25" t="s">
        <v>353</v>
      </c>
      <c r="C135" s="26" t="s">
        <v>354</v>
      </c>
      <c r="D135" s="21" t="s">
        <v>144</v>
      </c>
    </row>
    <row r="136" spans="1:4" ht="15" x14ac:dyDescent="0.3">
      <c r="A136" s="40"/>
      <c r="B136" s="25" t="s">
        <v>355</v>
      </c>
      <c r="C136" s="26" t="s">
        <v>356</v>
      </c>
      <c r="D136" s="21" t="s">
        <v>144</v>
      </c>
    </row>
    <row r="137" spans="1:4" ht="15" x14ac:dyDescent="0.3">
      <c r="A137" s="40"/>
      <c r="B137" s="25" t="s">
        <v>357</v>
      </c>
      <c r="C137" s="26" t="s">
        <v>358</v>
      </c>
      <c r="D137" s="21" t="s">
        <v>144</v>
      </c>
    </row>
    <row r="138" spans="1:4" ht="15" x14ac:dyDescent="0.3">
      <c r="A138" s="40"/>
      <c r="B138" s="25" t="s">
        <v>359</v>
      </c>
      <c r="C138" s="26" t="s">
        <v>360</v>
      </c>
      <c r="D138" s="21" t="s">
        <v>144</v>
      </c>
    </row>
    <row r="139" spans="1:4" ht="15" x14ac:dyDescent="0.3">
      <c r="A139" s="40"/>
      <c r="B139" s="25" t="s">
        <v>361</v>
      </c>
      <c r="C139" s="26" t="s">
        <v>362</v>
      </c>
      <c r="D139" s="21" t="s">
        <v>144</v>
      </c>
    </row>
    <row r="140" spans="1:4" ht="15" x14ac:dyDescent="0.3">
      <c r="A140" s="40"/>
      <c r="B140" s="25" t="s">
        <v>363</v>
      </c>
      <c r="C140" s="26" t="s">
        <v>364</v>
      </c>
      <c r="D140" s="21" t="s">
        <v>144</v>
      </c>
    </row>
    <row r="141" spans="1:4" ht="15" x14ac:dyDescent="0.3">
      <c r="A141" s="40"/>
      <c r="B141" s="25" t="s">
        <v>365</v>
      </c>
      <c r="C141" s="26" t="s">
        <v>366</v>
      </c>
      <c r="D141" s="21" t="s">
        <v>144</v>
      </c>
    </row>
    <row r="142" spans="1:4" ht="15" x14ac:dyDescent="0.3">
      <c r="A142" s="40"/>
      <c r="B142" s="25" t="s">
        <v>367</v>
      </c>
      <c r="C142" s="26" t="s">
        <v>368</v>
      </c>
      <c r="D142" s="21" t="s">
        <v>144</v>
      </c>
    </row>
    <row r="143" spans="1:4" ht="15" x14ac:dyDescent="0.3">
      <c r="A143" s="40"/>
      <c r="B143" s="25" t="s">
        <v>369</v>
      </c>
      <c r="C143" s="26" t="s">
        <v>370</v>
      </c>
      <c r="D143" s="21" t="s">
        <v>144</v>
      </c>
    </row>
    <row r="144" spans="1:4" ht="15" x14ac:dyDescent="0.3">
      <c r="A144" s="40"/>
      <c r="B144" s="25" t="s">
        <v>371</v>
      </c>
      <c r="C144" s="26" t="s">
        <v>372</v>
      </c>
      <c r="D144" s="21" t="s">
        <v>144</v>
      </c>
    </row>
    <row r="145" spans="1:4" ht="15" x14ac:dyDescent="0.3">
      <c r="A145" s="40"/>
      <c r="B145" s="21"/>
      <c r="C145" s="21"/>
      <c r="D145" s="21"/>
    </row>
    <row r="146" spans="1:4" ht="15" x14ac:dyDescent="0.3">
      <c r="A146" s="40"/>
      <c r="B146" s="25" t="s">
        <v>373</v>
      </c>
      <c r="C146" s="26" t="s">
        <v>374</v>
      </c>
      <c r="D146" s="21" t="s">
        <v>144</v>
      </c>
    </row>
    <row r="147" spans="1:4" ht="15" x14ac:dyDescent="0.3">
      <c r="A147" s="40"/>
      <c r="B147" s="25" t="s">
        <v>375</v>
      </c>
      <c r="C147" s="26" t="s">
        <v>376</v>
      </c>
      <c r="D147" s="21" t="s">
        <v>144</v>
      </c>
    </row>
    <row r="148" spans="1:4" ht="15" x14ac:dyDescent="0.3">
      <c r="A148" s="40"/>
      <c r="B148" s="25" t="s">
        <v>377</v>
      </c>
      <c r="C148" s="26" t="s">
        <v>378</v>
      </c>
      <c r="D148" s="21" t="s">
        <v>144</v>
      </c>
    </row>
    <row r="149" spans="1:4" ht="15" x14ac:dyDescent="0.3">
      <c r="A149" s="40"/>
      <c r="B149" s="21"/>
      <c r="C149" s="21"/>
      <c r="D149" s="21"/>
    </row>
    <row r="150" spans="1:4" ht="15" x14ac:dyDescent="0.3">
      <c r="A150" s="40"/>
      <c r="B150" s="21" t="s">
        <v>379</v>
      </c>
      <c r="C150" s="21" t="s">
        <v>380</v>
      </c>
      <c r="D150" s="21" t="s">
        <v>144</v>
      </c>
    </row>
    <row r="151" spans="1:4" ht="15" x14ac:dyDescent="0.3">
      <c r="A151" s="40"/>
      <c r="B151" s="21" t="s">
        <v>381</v>
      </c>
      <c r="C151" s="21" t="s">
        <v>382</v>
      </c>
      <c r="D151" s="21" t="s">
        <v>144</v>
      </c>
    </row>
    <row r="152" spans="1:4" ht="15" x14ac:dyDescent="0.3">
      <c r="A152" s="40"/>
      <c r="B152" s="21"/>
      <c r="C152" s="21"/>
      <c r="D152" s="21"/>
    </row>
    <row r="153" spans="1:4" ht="15" x14ac:dyDescent="0.3">
      <c r="A153" s="40"/>
      <c r="B153" s="25" t="s">
        <v>383</v>
      </c>
      <c r="C153" s="26" t="s">
        <v>384</v>
      </c>
      <c r="D153" s="21" t="s">
        <v>144</v>
      </c>
    </row>
    <row r="154" spans="1:4" ht="15" x14ac:dyDescent="0.3">
      <c r="A154" s="40"/>
      <c r="B154" s="26" t="s">
        <v>385</v>
      </c>
      <c r="C154" s="26" t="s">
        <v>385</v>
      </c>
      <c r="D154" s="21" t="s">
        <v>144</v>
      </c>
    </row>
    <row r="155" spans="1:4" ht="15" x14ac:dyDescent="0.3">
      <c r="A155" s="40"/>
      <c r="B155" s="26" t="s">
        <v>386</v>
      </c>
      <c r="C155" s="26" t="s">
        <v>386</v>
      </c>
      <c r="D155" s="21" t="s">
        <v>144</v>
      </c>
    </row>
    <row r="156" spans="1:4" x14ac:dyDescent="0.3">
      <c r="A156" s="15"/>
      <c r="B156" s="3"/>
      <c r="C156" s="3"/>
      <c r="D156" s="3"/>
    </row>
  </sheetData>
  <autoFilter ref="A4:A161" xr:uid="{1417BBA0-5B30-4691-BF44-9B947318C35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A633-AF36-4A09-97B1-D2B9DEAD2D7A}">
  <sheetPr codeName="Sheet3"/>
  <dimension ref="A1:E59"/>
  <sheetViews>
    <sheetView workbookViewId="0">
      <selection activeCell="B55" sqref="B55"/>
    </sheetView>
  </sheetViews>
  <sheetFormatPr defaultRowHeight="14.4" x14ac:dyDescent="0.3"/>
  <cols>
    <col min="1" max="1" width="9.5546875" bestFit="1" customWidth="1"/>
    <col min="2" max="3" width="48.109375" bestFit="1" customWidth="1"/>
    <col min="4" max="4" width="38.6640625" bestFit="1" customWidth="1"/>
  </cols>
  <sheetData>
    <row r="1" spans="2:4" x14ac:dyDescent="0.3">
      <c r="B1" s="1" t="s">
        <v>387</v>
      </c>
      <c r="C1" s="2" t="s">
        <v>388</v>
      </c>
      <c r="D1" s="3" t="s">
        <v>9</v>
      </c>
    </row>
    <row r="2" spans="2:4" x14ac:dyDescent="0.3">
      <c r="B2" s="1" t="s">
        <v>389</v>
      </c>
      <c r="C2" s="2" t="s">
        <v>390</v>
      </c>
      <c r="D2" s="3" t="s">
        <v>9</v>
      </c>
    </row>
    <row r="3" spans="2:4" x14ac:dyDescent="0.3">
      <c r="B3" s="1" t="s">
        <v>391</v>
      </c>
      <c r="C3" s="2" t="s">
        <v>392</v>
      </c>
      <c r="D3" s="3" t="s">
        <v>9</v>
      </c>
    </row>
    <row r="4" spans="2:4" x14ac:dyDescent="0.3">
      <c r="B4" s="1" t="s">
        <v>393</v>
      </c>
      <c r="C4" s="2" t="s">
        <v>394</v>
      </c>
      <c r="D4" s="3" t="s">
        <v>9</v>
      </c>
    </row>
    <row r="5" spans="2:4" x14ac:dyDescent="0.3">
      <c r="B5" s="1" t="s">
        <v>395</v>
      </c>
      <c r="C5" s="2" t="s">
        <v>396</v>
      </c>
      <c r="D5" s="3" t="s">
        <v>9</v>
      </c>
    </row>
    <row r="6" spans="2:4" x14ac:dyDescent="0.3">
      <c r="B6" s="1" t="s">
        <v>397</v>
      </c>
      <c r="C6" s="2" t="s">
        <v>398</v>
      </c>
      <c r="D6" s="3" t="s">
        <v>9</v>
      </c>
    </row>
    <row r="7" spans="2:4" x14ac:dyDescent="0.3">
      <c r="B7" s="3"/>
      <c r="C7" s="3"/>
      <c r="D7" s="3"/>
    </row>
    <row r="27" spans="1:5" x14ac:dyDescent="0.3">
      <c r="B27" s="6" t="s">
        <v>399</v>
      </c>
      <c r="C27" s="7" t="s">
        <v>400</v>
      </c>
      <c r="D27" s="3" t="s">
        <v>9</v>
      </c>
    </row>
    <row r="28" spans="1:5" x14ac:dyDescent="0.3">
      <c r="B28" s="6" t="s">
        <v>401</v>
      </c>
      <c r="C28" s="7" t="s">
        <v>402</v>
      </c>
      <c r="D28" s="3" t="s">
        <v>9</v>
      </c>
    </row>
    <row r="30" spans="1:5" x14ac:dyDescent="0.3">
      <c r="A30" s="15" t="s">
        <v>403</v>
      </c>
      <c r="B30" s="12" t="s">
        <v>404</v>
      </c>
      <c r="C30" s="9" t="s">
        <v>405</v>
      </c>
      <c r="D30" s="3" t="s">
        <v>9</v>
      </c>
      <c r="E30" s="8" t="s">
        <v>63</v>
      </c>
    </row>
    <row r="31" spans="1:5" x14ac:dyDescent="0.3">
      <c r="A31" s="15" t="s">
        <v>403</v>
      </c>
      <c r="B31" s="12" t="s">
        <v>406</v>
      </c>
      <c r="C31" s="8" t="s">
        <v>407</v>
      </c>
      <c r="D31" s="3" t="s">
        <v>9</v>
      </c>
      <c r="E31" s="8" t="s">
        <v>63</v>
      </c>
    </row>
    <row r="32" spans="1:5" x14ac:dyDescent="0.3">
      <c r="A32" s="15" t="s">
        <v>403</v>
      </c>
      <c r="B32" s="12" t="s">
        <v>408</v>
      </c>
      <c r="C32" s="8" t="s">
        <v>409</v>
      </c>
      <c r="D32" s="3" t="s">
        <v>9</v>
      </c>
      <c r="E32" s="8" t="s">
        <v>63</v>
      </c>
    </row>
    <row r="33" spans="2:4" x14ac:dyDescent="0.3">
      <c r="B33" s="1" t="s">
        <v>410</v>
      </c>
      <c r="C33" s="2" t="s">
        <v>411</v>
      </c>
      <c r="D33" s="3" t="s">
        <v>9</v>
      </c>
    </row>
    <row r="34" spans="2:4" x14ac:dyDescent="0.3">
      <c r="B34" s="1" t="s">
        <v>412</v>
      </c>
      <c r="C34" s="2" t="s">
        <v>413</v>
      </c>
      <c r="D34" s="3" t="s">
        <v>9</v>
      </c>
    </row>
    <row r="35" spans="2:4" x14ac:dyDescent="0.3">
      <c r="B35" s="1" t="s">
        <v>414</v>
      </c>
      <c r="C35" s="2" t="s">
        <v>415</v>
      </c>
      <c r="D35" s="3" t="s">
        <v>9</v>
      </c>
    </row>
    <row r="36" spans="2:4" x14ac:dyDescent="0.3">
      <c r="B36" s="1" t="s">
        <v>416</v>
      </c>
      <c r="C36" s="2" t="s">
        <v>417</v>
      </c>
      <c r="D36" s="3" t="s">
        <v>9</v>
      </c>
    </row>
    <row r="37" spans="2:4" x14ac:dyDescent="0.3">
      <c r="B37" s="1" t="s">
        <v>418</v>
      </c>
      <c r="C37" s="2" t="s">
        <v>419</v>
      </c>
      <c r="D37" s="3" t="s">
        <v>9</v>
      </c>
    </row>
    <row r="38" spans="2:4" x14ac:dyDescent="0.3">
      <c r="B38" s="1" t="s">
        <v>420</v>
      </c>
      <c r="C38" s="2" t="s">
        <v>421</v>
      </c>
      <c r="D38" s="3" t="s">
        <v>9</v>
      </c>
    </row>
    <row r="39" spans="2:4" x14ac:dyDescent="0.3">
      <c r="B39" s="1" t="s">
        <v>422</v>
      </c>
      <c r="C39" s="2" t="s">
        <v>423</v>
      </c>
      <c r="D39" s="3" t="s">
        <v>9</v>
      </c>
    </row>
    <row r="40" spans="2:4" x14ac:dyDescent="0.3">
      <c r="B40" s="1" t="s">
        <v>424</v>
      </c>
      <c r="C40" s="2" t="s">
        <v>425</v>
      </c>
      <c r="D40" s="3" t="s">
        <v>9</v>
      </c>
    </row>
    <row r="41" spans="2:4" x14ac:dyDescent="0.3">
      <c r="B41" s="1" t="s">
        <v>426</v>
      </c>
      <c r="C41" s="2" t="s">
        <v>427</v>
      </c>
      <c r="D41" s="3" t="s">
        <v>9</v>
      </c>
    </row>
    <row r="42" spans="2:4" x14ac:dyDescent="0.3">
      <c r="B42" s="1" t="s">
        <v>428</v>
      </c>
      <c r="C42" s="2" t="s">
        <v>429</v>
      </c>
      <c r="D42" s="3" t="s">
        <v>9</v>
      </c>
    </row>
    <row r="43" spans="2:4" x14ac:dyDescent="0.3">
      <c r="B43" s="1" t="s">
        <v>430</v>
      </c>
      <c r="C43" s="2" t="s">
        <v>431</v>
      </c>
      <c r="D43" s="3" t="s">
        <v>9</v>
      </c>
    </row>
    <row r="44" spans="2:4" x14ac:dyDescent="0.3">
      <c r="B44" s="1">
        <v>310999</v>
      </c>
      <c r="C44" s="2" t="s">
        <v>62</v>
      </c>
      <c r="D44" s="3" t="s">
        <v>9</v>
      </c>
    </row>
    <row r="45" spans="2:4" x14ac:dyDescent="0.3">
      <c r="B45" s="1" t="s">
        <v>432</v>
      </c>
      <c r="C45" s="2" t="s">
        <v>433</v>
      </c>
      <c r="D45" s="3" t="s">
        <v>9</v>
      </c>
    </row>
    <row r="46" spans="2:4" x14ac:dyDescent="0.3">
      <c r="B46" s="1" t="s">
        <v>434</v>
      </c>
      <c r="C46" s="2" t="s">
        <v>435</v>
      </c>
      <c r="D46" s="3" t="s">
        <v>9</v>
      </c>
    </row>
    <row r="50" spans="1:4" x14ac:dyDescent="0.3">
      <c r="B50" s="1" t="s">
        <v>436</v>
      </c>
      <c r="C50" s="1" t="s">
        <v>436</v>
      </c>
      <c r="D50" s="3" t="s">
        <v>9</v>
      </c>
    </row>
    <row r="52" spans="1:4" x14ac:dyDescent="0.3">
      <c r="B52" s="4" t="s">
        <v>437</v>
      </c>
      <c r="C52" s="5" t="s">
        <v>438</v>
      </c>
      <c r="D52" s="3" t="s">
        <v>144</v>
      </c>
    </row>
    <row r="53" spans="1:4" x14ac:dyDescent="0.3">
      <c r="B53" s="4" t="s">
        <v>439</v>
      </c>
      <c r="C53" s="5" t="s">
        <v>440</v>
      </c>
      <c r="D53" s="3" t="s">
        <v>144</v>
      </c>
    </row>
    <row r="54" spans="1:4" x14ac:dyDescent="0.3">
      <c r="B54" s="4" t="s">
        <v>441</v>
      </c>
      <c r="C54" s="5" t="s">
        <v>442</v>
      </c>
      <c r="D54" s="3" t="s">
        <v>144</v>
      </c>
    </row>
    <row r="55" spans="1:4" x14ac:dyDescent="0.3">
      <c r="B55" s="4" t="s">
        <v>443</v>
      </c>
      <c r="C55" s="5" t="s">
        <v>444</v>
      </c>
      <c r="D55" s="3" t="s">
        <v>144</v>
      </c>
    </row>
    <row r="56" spans="1:4" x14ac:dyDescent="0.3">
      <c r="B56" s="4" t="s">
        <v>445</v>
      </c>
      <c r="C56" s="5" t="s">
        <v>446</v>
      </c>
      <c r="D56" s="3" t="s">
        <v>144</v>
      </c>
    </row>
    <row r="57" spans="1:4" x14ac:dyDescent="0.3">
      <c r="B57" s="4" t="s">
        <v>447</v>
      </c>
      <c r="C57" s="5" t="s">
        <v>448</v>
      </c>
      <c r="D57" s="3" t="s">
        <v>144</v>
      </c>
    </row>
    <row r="58" spans="1:4" x14ac:dyDescent="0.3">
      <c r="B58" s="4" t="s">
        <v>449</v>
      </c>
      <c r="C58" s="5" t="s">
        <v>450</v>
      </c>
      <c r="D58" s="3" t="s">
        <v>144</v>
      </c>
    </row>
    <row r="59" spans="1:4" x14ac:dyDescent="0.3">
      <c r="A59" s="3"/>
      <c r="B59" s="8" t="s">
        <v>451</v>
      </c>
      <c r="C59" s="9" t="s">
        <v>452</v>
      </c>
      <c r="D59" s="3" t="s">
        <v>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721F765232C1448522CCAA8AB58EF8" ma:contentTypeVersion="15" ma:contentTypeDescription="Create a new document." ma:contentTypeScope="" ma:versionID="b8d1eca0baa5293f540457c7604a948b">
  <xsd:schema xmlns:xsd="http://www.w3.org/2001/XMLSchema" xmlns:xs="http://www.w3.org/2001/XMLSchema" xmlns:p="http://schemas.microsoft.com/office/2006/metadata/properties" xmlns:ns3="e2aa2d22-b79e-476d-a079-802e121c55ce" xmlns:ns4="1fa0dc64-72c7-483f-8dd5-61027522d9a7" targetNamespace="http://schemas.microsoft.com/office/2006/metadata/properties" ma:root="true" ma:fieldsID="a790fafbded4dcff5e91e66c45f80c4c" ns3:_="" ns4:_="">
    <xsd:import namespace="e2aa2d22-b79e-476d-a079-802e121c55ce"/>
    <xsd:import namespace="1fa0dc64-72c7-483f-8dd5-61027522d9a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aa2d22-b79e-476d-a079-802e121c55c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0dc64-72c7-483f-8dd5-61027522d9a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aa2d22-b79e-476d-a079-802e121c55ce" xsi:nil="true"/>
  </documentManagement>
</p:properties>
</file>

<file path=customXml/itemProps1.xml><?xml version="1.0" encoding="utf-8"?>
<ds:datastoreItem xmlns:ds="http://schemas.openxmlformats.org/officeDocument/2006/customXml" ds:itemID="{3E894235-7165-4826-A554-9DAFB9E5A7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aa2d22-b79e-476d-a079-802e121c55ce"/>
    <ds:schemaRef ds:uri="1fa0dc64-72c7-483f-8dd5-61027522d9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FA40D5-52F4-4BCC-A6B2-7CA04EB25E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8D3D52-26A2-4004-B63E-479AB61A0BBC}">
  <ds:schemaRefs>
    <ds:schemaRef ds:uri="http://schemas.microsoft.com/office/2006/metadata/properties"/>
    <ds:schemaRef ds:uri="http://schemas.microsoft.com/office/infopath/2007/PartnerControls"/>
    <ds:schemaRef ds:uri="e2aa2d22-b79e-476d-a079-802e121c55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Solar BOM</vt:lpstr>
      <vt:lpstr>Electrical BOM</vt:lpstr>
      <vt:lpstr>Future Use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Pavlik</dc:creator>
  <cp:keywords/>
  <dc:description/>
  <cp:lastModifiedBy>Christian Guest</cp:lastModifiedBy>
  <cp:revision/>
  <dcterms:created xsi:type="dcterms:W3CDTF">2026-04-08T11:21:18Z</dcterms:created>
  <dcterms:modified xsi:type="dcterms:W3CDTF">2026-06-01T20:25:28Z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0x010100FB721F765232C1448522CCAA8AB58EF8</vt:lpwstr>
  </property>
</Properties>
</file>